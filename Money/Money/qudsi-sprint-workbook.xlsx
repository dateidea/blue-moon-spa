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ipeline" sheetId="2" state="visible" r:id="rId4"/>
    <sheet name="Activity" sheetId="3" state="visible" r:id="rId5"/>
    <sheet name="Pitch Script" sheetId="4" state="visible" r:id="rId6"/>
    <sheet name="Packages" sheetId="5" state="visible" r:id="rId7"/>
    <sheet name="16-Day Schedule" sheetId="6" state="visible" r:id="rId8"/>
    <sheet name="Post-Sprint Plays" sheetId="7" state="visible" r:id="rId9"/>
    <sheet name="How to Prospec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<sst xmlns="http://schemas.openxmlformats.org/spreadsheetml/2006/main" count="3352" uniqueCount="1898">
  <si>
    <t xml:space="preserve">QUDSI – $6K Sprint Dashboard</t>
  </si>
  <si>
    <t xml:space="preserve">Goal</t>
  </si>
  <si>
    <t xml:space="preserve">$6,000</t>
  </si>
  <si>
    <t xml:space="preserve">Daily pitch target</t>
  </si>
  <si>
    <t xml:space="preserve">Deadline</t>
  </si>
  <si>
    <t xml:space="preserve">May 10, 2026</t>
  </si>
  <si>
    <t xml:space="preserve">Pitches today (log in Activity tab)</t>
  </si>
  <si>
    <t xml:space="preserve">Days remaining</t>
  </si>
  <si>
    <t xml:space="preserve">Pitches this week</t>
  </si>
  <si>
    <t xml:space="preserve">Closed revenue (from Pipeline)</t>
  </si>
  <si>
    <t xml:space="preserve">Appointments booked</t>
  </si>
  <si>
    <t xml:space="preserve">Collected cash (from Pipeline)</t>
  </si>
  <si>
    <t xml:space="preserve">Proposals sent</t>
  </si>
  <si>
    <t xml:space="preserve">Remaining to goal</t>
  </si>
  <si>
    <t xml:space="preserve">Pitches completed (from Pipeline)</t>
  </si>
  <si>
    <t xml:space="preserve">Prospects in Pipeline</t>
  </si>
  <si>
    <t xml:space="preserve">Close rate</t>
  </si>
  <si>
    <t xml:space="preserve">Hot leads (no website)</t>
  </si>
  <si>
    <t xml:space="preserve">Avg deal size</t>
  </si>
  <si>
    <t xml:space="preserve">HONEST MATH</t>
  </si>
  <si>
    <t xml:space="preserve">To hit $6K you need 4 closes at $1,500 avg.</t>
  </si>
  <si>
    <t xml:space="preserve">Expected close rate for cold in-person: 3-5%. Plan on pitching 100-150 businesses in 16 days.</t>
  </si>
  <si>
    <t xml:space="preserve">That's 10 pitches per day for 12 days. Non-negotiable. Track it in Activity.</t>
  </si>
  <si>
    <t xml:space="preserve">If close rate in week 1 is below 3%, the problem is the pitch, not the market. Fix the pitch before blaming the list.</t>
  </si>
  <si>
    <t xml:space="preserve">#</t>
  </si>
  <si>
    <t xml:space="preserve">Business name</t>
  </si>
  <si>
    <t xml:space="preserve">Category</t>
  </si>
  <si>
    <t xml:space="preserve">Address / Area</t>
  </si>
  <si>
    <t xml:space="preserve">Phone</t>
  </si>
  <si>
    <t xml:space="preserve">Current site / Google listing</t>
  </si>
  <si>
    <t xml:space="preserve">Status</t>
  </si>
  <si>
    <t xml:space="preserve">Quote ($)</t>
  </si>
  <si>
    <t xml:space="preserve">Collected ($)</t>
  </si>
  <si>
    <t xml:space="preserve">Pitch notes / 3 fixes</t>
  </si>
  <si>
    <t xml:space="preserve">Owner name</t>
  </si>
  <si>
    <t xml:space="preserve">Best time to visit</t>
  </si>
  <si>
    <t xml:space="preserve">Next action</t>
  </si>
  <si>
    <t xml:space="preserve">Next action date</t>
  </si>
  <si>
    <t xml:space="preserve">San Diego Garage Doors And Gate Repair</t>
  </si>
  <si>
    <t xml:space="preserve">garage door repair</t>
  </si>
  <si>
    <t xml:space="preserve">3820 Granada Ave, San Diego, CA 92104, USA</t>
  </si>
  <si>
    <t xml:space="preserve">(858) 263-0068</t>
  </si>
  <si>
    <t xml:space="preserve">NO SITE — https://www.google.com/maps/place/?q=place_id:ChIJbWubrfhV2YARTYEc0gj8nWI</t>
  </si>
  <si>
    <t xml:space="preserve">Not contacted</t>
  </si>
  <si>
    <t xml:space="preserve">NO WEBSITE (hot lead) | 4.9★ 57 reviews | Score: 80</t>
  </si>
  <si>
    <t xml:space="preserve">9-11 AM or 2-5 PM</t>
  </si>
  <si>
    <t xml:space="preserve">Research + walk-in</t>
  </si>
  <si>
    <t xml:space="preserve">Kelly's Nails &amp; Spa (10%OFF + $10)</t>
  </si>
  <si>
    <t xml:space="preserve">nail salon</t>
  </si>
  <si>
    <t xml:space="preserve">6921 El Cajon Blvd, San Diego, CA 92115, USA</t>
  </si>
  <si>
    <t xml:space="preserve">(619) 718-1851</t>
  </si>
  <si>
    <t xml:space="preserve">NO SITE — https://www.google.com/maps/place/?q=place_id:ChIJGfItQQpX2YARB-cYO3bedzk</t>
  </si>
  <si>
    <t xml:space="preserve">NO WEBSITE (hot lead) | 4.7★ 57 reviews | Score: 80</t>
  </si>
  <si>
    <t xml:space="preserve">10 AM - 2 PM</t>
  </si>
  <si>
    <t xml:space="preserve">The Blak Mrkt Studio</t>
  </si>
  <si>
    <t xml:space="preserve">barber shop</t>
  </si>
  <si>
    <t xml:space="preserve">7281 El Cajon Blvd, San Diego, CA 92115, USA</t>
  </si>
  <si>
    <t xml:space="preserve">(619) 807-7632</t>
  </si>
  <si>
    <t xml:space="preserve">NO SITE — https://www.google.com/maps/place/?q=place_id:ChIJMzfUeeNX2YARyemrR8fe9uQ</t>
  </si>
  <si>
    <t xml:space="preserve">NO WEBSITE (hot lead) | 4.5★ 49 reviews | Score: 80</t>
  </si>
  <si>
    <t xml:space="preserve">Tire Connection</t>
  </si>
  <si>
    <t xml:space="preserve">tire shop</t>
  </si>
  <si>
    <t xml:space="preserve">5240 El Cajon Blvd, San Diego, CA 92115, USA</t>
  </si>
  <si>
    <t xml:space="preserve">(619) 582-7022</t>
  </si>
  <si>
    <t xml:space="preserve">NO SITE — https://www.google.com/maps/place/?q=place_id:ChIJiz4OHCFU2YARTG9qcqxYF1o</t>
  </si>
  <si>
    <t xml:space="preserve">NO WEBSITE (hot lead) | 4.7★ 42 reviews | Score: 80</t>
  </si>
  <si>
    <t xml:space="preserve">Kim H Nails</t>
  </si>
  <si>
    <t xml:space="preserve">6519 University Ave, San Diego, CA 92115, USA</t>
  </si>
  <si>
    <t xml:space="preserve">(858) 883-1093</t>
  </si>
  <si>
    <t xml:space="preserve">NO SITE — https://www.google.com/maps/place/?q=place_id:ChIJOc156HRX2YAR2QDgDCpA_EM</t>
  </si>
  <si>
    <t xml:space="preserve">NO WEBSITE (hot lead) | 5★ 39 reviews | Score: 80</t>
  </si>
  <si>
    <t xml:space="preserve">BCJXCUTZ</t>
  </si>
  <si>
    <t xml:space="preserve">5410 El Cajon Blvd, San Diego, CA 92115, USA</t>
  </si>
  <si>
    <t xml:space="preserve">NO SITE — https://www.google.com/maps/place/?q=place_id:ChIJ_at2d91T2YAR5FpAhahtb00</t>
  </si>
  <si>
    <t xml:space="preserve">NO WEBSITE (hot lead) | 4.9★ 37 reviews | Score: 80</t>
  </si>
  <si>
    <t xml:space="preserve">Elite Tire Shop</t>
  </si>
  <si>
    <t xml:space="preserve">6215 University Ave B STE B, San Diego, CA 92115, USA</t>
  </si>
  <si>
    <t xml:space="preserve">(619) 779-4946</t>
  </si>
  <si>
    <t xml:space="preserve">NO SITE — https://www.google.com/maps/place/?q=place_id:ChIJ6d0WoUpX2YAR3r3-ppUEBjs</t>
  </si>
  <si>
    <t xml:space="preserve">NO WEBSITE (hot lead) | 5★ 34 reviews | Score: 80</t>
  </si>
  <si>
    <t xml:space="preserve">Baz Auto Repair Service</t>
  </si>
  <si>
    <t xml:space="preserve">auto repair</t>
  </si>
  <si>
    <t xml:space="preserve">6970 El Cajon Blvd, San Diego, CA 92115, USA</t>
  </si>
  <si>
    <t xml:space="preserve">(619) 469-1827</t>
  </si>
  <si>
    <t xml:space="preserve">NO SITE — https://www.google.com/maps/place/?q=place_id:ChIJ474NgKxX2YARJXVfAJFv-Ak</t>
  </si>
  <si>
    <t xml:space="preserve">NO WEBSITE (hot lead) | 4.9★ 32 reviews | Score: 80</t>
  </si>
  <si>
    <t xml:space="preserve">Royal Touch Cleaners</t>
  </si>
  <si>
    <t xml:space="preserve">dry cleaner</t>
  </si>
  <si>
    <t xml:space="preserve">4242 Camino Del Rio N # 22, San Diego, CA 92108, USA</t>
  </si>
  <si>
    <t xml:space="preserve">(619) 624-0989</t>
  </si>
  <si>
    <t xml:space="preserve">NO SITE — https://www.google.com/maps/place/?q=place_id:ChIJ6apr9rdV2YARjx2JIq9Z404</t>
  </si>
  <si>
    <t xml:space="preserve">NO WEBSITE (hot lead) | 4.5★ 32 reviews | Score: 80</t>
  </si>
  <si>
    <t xml:space="preserve">Pelayo Tax Service</t>
  </si>
  <si>
    <t xml:space="preserve">tax preparation</t>
  </si>
  <si>
    <t xml:space="preserve">4444 El Cajon Blvd STE.5, San Diego, CA 92115, USA</t>
  </si>
  <si>
    <t xml:space="preserve">(619) 795-3923</t>
  </si>
  <si>
    <t xml:space="preserve">NO SITE — https://www.google.com/maps/place/?q=place_id:ChIJz3-XNDlU2YAREfSjIyg1zTc</t>
  </si>
  <si>
    <t xml:space="preserve">NO WEBSITE (hot lead) | 4.5★ 31 reviews | Score: 80</t>
  </si>
  <si>
    <t xml:space="preserve">TX, INC.</t>
  </si>
  <si>
    <t xml:space="preserve">5431 El Cajon Blvd B, San Diego, CA 92115, USA</t>
  </si>
  <si>
    <t xml:space="preserve">(619) 582-4578</t>
  </si>
  <si>
    <t xml:space="preserve">NO SITE — https://www.google.com/maps/place/?q=place_id:ChIJh1tVMZ5W2YARwzteXTv4XT4</t>
  </si>
  <si>
    <t xml:space="preserve">NO WEBSITE (hot lead) | 4.9★ 31 reviews | Score: 80</t>
  </si>
  <si>
    <t xml:space="preserve">Khloe’s tire shop</t>
  </si>
  <si>
    <t xml:space="preserve">4875 El Cajon Blvd, San Diego, CA 92115, USA</t>
  </si>
  <si>
    <t xml:space="preserve">(619) 617-5813</t>
  </si>
  <si>
    <t xml:space="preserve">NO SITE — https://www.google.com/maps/place/?q=place_id:ChIJhTeQFCNU2YARmpTSd6fqxmw</t>
  </si>
  <si>
    <t xml:space="preserve">NO WEBSITE (hot lead) | 4.3★ 28 reviews | small + well-liked | Score: 80</t>
  </si>
  <si>
    <t xml:space="preserve">San Diego HVAC &amp; Airduct Cleaning</t>
  </si>
  <si>
    <t xml:space="preserve">HVAC repair</t>
  </si>
  <si>
    <t xml:space="preserve">4481-91 El Cajon Blvd, San Diego, CA 92115, USA</t>
  </si>
  <si>
    <t xml:space="preserve">(619) 272-9793</t>
  </si>
  <si>
    <t xml:space="preserve">NO SITE — https://www.google.com/maps/place/?q=place_id:ChIJGalg68Be2YARMe7GRoFbuSY</t>
  </si>
  <si>
    <t xml:space="preserve">NO WEBSITE (hot lead) | 5★ 18 reviews | small + well-liked | Score: 80</t>
  </si>
  <si>
    <t xml:space="preserve">E-Z Auto</t>
  </si>
  <si>
    <t xml:space="preserve">6808 University Ave, San Diego, CA 92115, USA</t>
  </si>
  <si>
    <t xml:space="preserve">(619) 229-2022</t>
  </si>
  <si>
    <t xml:space="preserve">NO SITE — https://www.google.com/maps/place/?q=place_id:ChIJ3wByGcRW2YARUd4bG1M8xhg</t>
  </si>
  <si>
    <t xml:space="preserve">NO WEBSITE (hot lead) | 4.9★ 18 reviews | small + well-liked | Score: 80</t>
  </si>
  <si>
    <t xml:space="preserve">Leroy Chen Tax Service</t>
  </si>
  <si>
    <t xml:space="preserve">5332 Lea St, San Diego, CA 92105, USA</t>
  </si>
  <si>
    <t xml:space="preserve">(831) 917-8168</t>
  </si>
  <si>
    <t xml:space="preserve">NO SITE — https://www.google.com/maps/place/?q=place_id:ChIJuRt9XX1V2YARDfSa9jEbprg</t>
  </si>
  <si>
    <t xml:space="preserve">NO WEBSITE (hot lead) | 4.6★ 18 reviews | small + well-liked | Score: 80</t>
  </si>
  <si>
    <t xml:space="preserve">San Diego Roofing pro</t>
  </si>
  <si>
    <t xml:space="preserve">roofing contractor</t>
  </si>
  <si>
    <t xml:space="preserve">4575 El Cajon Blvd, San Diego, CA 92115, USA</t>
  </si>
  <si>
    <t xml:space="preserve">(858) 275-7811</t>
  </si>
  <si>
    <t xml:space="preserve">NO SITE — https://www.google.com/maps/place/?q=place_id:ChIJnVQKEjxU2YARPRcAx4_BrTA</t>
  </si>
  <si>
    <t xml:space="preserve">NO WEBSITE (hot lead) | 4.9★ 16 reviews | small + well-liked | Score: 80</t>
  </si>
  <si>
    <t xml:space="preserve">Reliable Garage Door Repair of San Diego</t>
  </si>
  <si>
    <t xml:space="preserve">6785 Imperial Ave, San Diego, CA 92114, USA</t>
  </si>
  <si>
    <t xml:space="preserve">(619) 810-5772</t>
  </si>
  <si>
    <t xml:space="preserve">NO SITE — https://www.google.com/maps/place/?q=place_id:ChIJqYz3_RYTK4cR_Nqws-mOIxo</t>
  </si>
  <si>
    <t xml:space="preserve">NO WEBSITE (hot lead) | 5★ 13 reviews | small + well-liked | Score: 80</t>
  </si>
  <si>
    <t xml:space="preserve">One Appliance Repair Center</t>
  </si>
  <si>
    <t xml:space="preserve">appliance repair</t>
  </si>
  <si>
    <t xml:space="preserve">715 Woodrow Ave, San Diego, CA 92114, USA</t>
  </si>
  <si>
    <t xml:space="preserve">(619) 914-5779</t>
  </si>
  <si>
    <t xml:space="preserve">NO SITE — https://www.google.com/maps/place/?q=place_id:ChIJbxJDtB9R2YARn8FcxLb81Gg</t>
  </si>
  <si>
    <t xml:space="preserve">NO WEBSITE (hot lead) | 5★ 12 reviews | small + well-liked | Score: 80</t>
  </si>
  <si>
    <t xml:space="preserve">Universal HVAC Contractors San Diego</t>
  </si>
  <si>
    <t xml:space="preserve">3635 College Ave, San Diego, CA 92115, USA</t>
  </si>
  <si>
    <t xml:space="preserve">(619) 612-4382</t>
  </si>
  <si>
    <t xml:space="preserve">NO SITE — https://www.google.com/maps/place/?q=place_id:ChIJv1P416tX2YARTHd61JO9f1Q</t>
  </si>
  <si>
    <t xml:space="preserve">NO WEBSITE (hot lead) | 5★ 10 reviews | small + well-liked | Score: 80</t>
  </si>
  <si>
    <t xml:space="preserve">Wishy Washy Window Washing</t>
  </si>
  <si>
    <t xml:space="preserve">window cleaning</t>
  </si>
  <si>
    <t xml:space="preserve">6489 Bell Bluff Ave, San Diego, CA 92119, USA</t>
  </si>
  <si>
    <t xml:space="preserve">(619) 508-2168</t>
  </si>
  <si>
    <t xml:space="preserve">NO SITE — https://www.google.com/maps/place/?q=place_id:ChIJTdEnw9nc1QARhS_YocmBUT4</t>
  </si>
  <si>
    <t xml:space="preserve">NO WEBSITE (hot lead) | 5★ 9 reviews | small + well-liked | Score: 80</t>
  </si>
  <si>
    <t xml:space="preserve">G and G Auto Service</t>
  </si>
  <si>
    <t xml:space="preserve">7073 El Cajon Blvd, San Diego, CA 92115, USA</t>
  </si>
  <si>
    <t xml:space="preserve">(619) 465-5444</t>
  </si>
  <si>
    <t xml:space="preserve">NO SITE — https://www.google.com/maps/place/?q=place_id:ChIJPRvivGRX2YAREQ4EbTIq-P0</t>
  </si>
  <si>
    <t xml:space="preserve">NO WEBSITE (hot lead) | 5★ 8 reviews | small + well-liked | Score: 80</t>
  </si>
  <si>
    <t xml:space="preserve">SMART Solutions Financial &amp; Insurance Services, Inc.</t>
  </si>
  <si>
    <t xml:space="preserve">4644 El Cajon Blvd Office / Work Area, San Diego, CA 92115, USA</t>
  </si>
  <si>
    <t xml:space="preserve">(619) 356-4121</t>
  </si>
  <si>
    <t xml:space="preserve">NO SITE — https://www.google.com/maps/place/?q=place_id:ChIJX6aieTxU2YARrEVfWHvil1M</t>
  </si>
  <si>
    <t xml:space="preserve">NO WEBSITE (hot lead) | 4.4★ 7 reviews | small + well-liked | Score: 80</t>
  </si>
  <si>
    <t xml:space="preserve">TruePeak Roofing</t>
  </si>
  <si>
    <t xml:space="preserve">6372 El Cajon Blvd, San Diego, CA 92115, USA</t>
  </si>
  <si>
    <t xml:space="preserve">(619) 935-6149</t>
  </si>
  <si>
    <t xml:space="preserve">NO SITE — https://www.google.com/maps/place/?q=place_id:ChIJuaT6qPlY2YAR2itICzIb00Q</t>
  </si>
  <si>
    <t xml:space="preserve">NO WEBSITE (hot lead) | 4.3★ 6 reviews | small + well-liked | Score: 80</t>
  </si>
  <si>
    <t xml:space="preserve">KOL HVAC Repair</t>
  </si>
  <si>
    <t xml:space="preserve">Lake Murray Blvd, San Diego, CA 92119, USA</t>
  </si>
  <si>
    <t xml:space="preserve">(619) 277-7461</t>
  </si>
  <si>
    <t xml:space="preserve">NO SITE — https://www.google.com/maps/place/?q=place_id:ChIJIaVgacNX2YARWhTjctOkfUU</t>
  </si>
  <si>
    <t xml:space="preserve">NO WEBSITE (hot lead) | 5★ 4 reviews | small + well-liked | Score: 80</t>
  </si>
  <si>
    <t xml:space="preserve">Joe’s Tile Pros</t>
  </si>
  <si>
    <t xml:space="preserve">tile installation</t>
  </si>
  <si>
    <t xml:space="preserve">7700 Parkway Dr, La Mesa, CA 91942, USA</t>
  </si>
  <si>
    <t xml:space="preserve">(619) 248-5107</t>
  </si>
  <si>
    <t xml:space="preserve">NO SITE — https://www.google.com/maps/place/?q=place_id:ChIJj0XI4a9X2YAR9-8GM76urCc</t>
  </si>
  <si>
    <t xml:space="preserve">S C Tile Co</t>
  </si>
  <si>
    <t xml:space="preserve">606 S Marshall Ave, El Cajon, CA 92020, USA</t>
  </si>
  <si>
    <t xml:space="preserve">(619) 669-1575</t>
  </si>
  <si>
    <t xml:space="preserve">NO SITE — https://www.google.com/maps/place/?q=place_id:ChIJtbpfnr1c2YARPMQb0s7ohn8</t>
  </si>
  <si>
    <t xml:space="preserve">El Cajon Tire Shop</t>
  </si>
  <si>
    <t xml:space="preserve">7269 El Cajon Blvd, San Diego, CA 92115, USA</t>
  </si>
  <si>
    <t xml:space="preserve">(619) 697-0360</t>
  </si>
  <si>
    <t xml:space="preserve">NO SITE — https://www.google.com/maps/place/?q=place_id:ChIJO0SGm-ZW2YARWSD2oZfcNsg</t>
  </si>
  <si>
    <t xml:space="preserve">Figueroa Tile</t>
  </si>
  <si>
    <t xml:space="preserve">4216 Polk Ave, San Diego, CA 92105, USA</t>
  </si>
  <si>
    <t xml:space="preserve">(619) 359-7547</t>
  </si>
  <si>
    <t xml:space="preserve">NO SITE — https://www.google.com/maps/place/?q=place_id:ChIJLzFWN_hILC0RV9VBVIMxez4</t>
  </si>
  <si>
    <t xml:space="preserve">NO WEBSITE (hot lead) | 5★ 3 reviews | small + well-liked | Score: 80</t>
  </si>
  <si>
    <t xml:space="preserve">Zeus Electric &amp; GC Inc</t>
  </si>
  <si>
    <t xml:space="preserve">electrician</t>
  </si>
  <si>
    <t xml:space="preserve">5525 El Cajon Blvd, San Diego, CA 92115, USA</t>
  </si>
  <si>
    <t xml:space="preserve">(619) 665-3003</t>
  </si>
  <si>
    <t xml:space="preserve">NO SITE — https://www.google.com/maps/place/?q=place_id:ChIJUycB0o1X2YARzpJuOEJgWw0</t>
  </si>
  <si>
    <t xml:space="preserve">NGUYEN'S TAX AND ASSOCAITES</t>
  </si>
  <si>
    <t xml:space="preserve">5114 El Cajon Blvd Unit 1, San Diego, CA 92115, USA</t>
  </si>
  <si>
    <t xml:space="preserve">(619) 849-0422</t>
  </si>
  <si>
    <t xml:space="preserve">NO SITE — https://www.google.com/maps/place/?q=place_id:ChIJr3y10D1V2YARuL0sp_IPeuA</t>
  </si>
  <si>
    <t xml:space="preserve">San Diego Patch and Paint</t>
  </si>
  <si>
    <t xml:space="preserve">house painter</t>
  </si>
  <si>
    <t xml:space="preserve">6161 El Cajon Blvd ste 922, San Diego, CA 92115, USA</t>
  </si>
  <si>
    <t xml:space="preserve">(619) 929-4199</t>
  </si>
  <si>
    <t xml:space="preserve">NO SITE — https://www.google.com/maps/place/?q=place_id:ChIJ79l3v9dX2YARCj_lUvbldnQ</t>
  </si>
  <si>
    <t xml:space="preserve">NO WEBSITE (hot lead) | 5★ 2 reviews | small + well-liked | Score: 80</t>
  </si>
  <si>
    <t xml:space="preserve">G R Bookkeeping &amp; Tax Services</t>
  </si>
  <si>
    <t xml:space="preserve">6255 University Ave, San Diego, CA 92115, USA</t>
  </si>
  <si>
    <t xml:space="preserve">(619) 644-5710</t>
  </si>
  <si>
    <t xml:space="preserve">NO SITE — https://www.google.com/maps/place/?q=place_id:ChIJj73XQ9lW2YART58TuwxNMy8</t>
  </si>
  <si>
    <t xml:space="preserve">Hoffner Associates</t>
  </si>
  <si>
    <t xml:space="preserve">6150 El Cajon Blvd e, San Diego, CA 92115, USA</t>
  </si>
  <si>
    <t xml:space="preserve">(619) 265-8208</t>
  </si>
  <si>
    <t xml:space="preserve">NO SITE — https://www.google.com/maps/place/?q=place_id:ChIJvxemL5dW2YARCxrttAoFQWk</t>
  </si>
  <si>
    <t xml:space="preserve">NO WEBSITE (hot lead) | 4.5★ 2 reviews | small + well-liked | Score: 80</t>
  </si>
  <si>
    <t xml:space="preserve">Chalma landscaping</t>
  </si>
  <si>
    <t xml:space="preserve">landscaping</t>
  </si>
  <si>
    <t xml:space="preserve">3825 Van Dyke Ave, San Diego, CA 92105, USA</t>
  </si>
  <si>
    <t xml:space="preserve">(619) 520-0086</t>
  </si>
  <si>
    <t xml:space="preserve">NO SITE — https://www.google.com/maps/place/?q=place_id:ChIJnSQk4OFV2YARDkKI8etMvD0</t>
  </si>
  <si>
    <t xml:space="preserve">NO WEBSITE (hot lead) | 5★ 1 reviews | small + well-liked | Score: 80</t>
  </si>
  <si>
    <t xml:space="preserve">Diego Landscaping</t>
  </si>
  <si>
    <t xml:space="preserve">3819 47th St, San Diego, CA 92105, USA</t>
  </si>
  <si>
    <t xml:space="preserve">NO SITE — https://www.google.com/maps/place/?q=place_id:ChIJs-eRERdU2YARPYKZFIU6ZS0</t>
  </si>
  <si>
    <t xml:space="preserve">Blue Water Pool Service &amp; More</t>
  </si>
  <si>
    <t xml:space="preserve">pool service</t>
  </si>
  <si>
    <t xml:space="preserve">2864 Ridge View Dr, San Diego, CA 92105, USA</t>
  </si>
  <si>
    <t xml:space="preserve">(619) 992-3896</t>
  </si>
  <si>
    <t xml:space="preserve">NO SITE — https://www.google.com/maps/place/?q=place_id:ChIJycF8BgZU2YARg0-3FqQlOGc</t>
  </si>
  <si>
    <t xml:space="preserve">Adams Auto Repair &amp; Collison Center INC</t>
  </si>
  <si>
    <t xml:space="preserve">4961 University Ave, San Diego, CA 92105, USA</t>
  </si>
  <si>
    <t xml:space="preserve">(619) 310-6669</t>
  </si>
  <si>
    <t xml:space="preserve">NO SITE — https://www.google.com/maps/place/?q=place_id:ChIJfRIhXz1V2YARe56yjI99iNI</t>
  </si>
  <si>
    <t xml:space="preserve">Fairlane Cleaners</t>
  </si>
  <si>
    <t xml:space="preserve">6302 El Cajon Blvd #4, San Diego, CA 92115, USA</t>
  </si>
  <si>
    <t xml:space="preserve">(619) 286-1820</t>
  </si>
  <si>
    <t xml:space="preserve">NO SITE — https://www.google.com/maps/place/?q=place_id:ChIJ_UDPS5FW2YAREsbF04nwwmU</t>
  </si>
  <si>
    <t xml:space="preserve">NO WEBSITE (hot lead) | 4★ 48 reviews | Score: 70</t>
  </si>
  <si>
    <t xml:space="preserve">ProfessioNail &amp; Spa</t>
  </si>
  <si>
    <t xml:space="preserve">COLLEGE GROVE, 6348 College Grove Way UNIT 102, San Diego, CA 92115, USA</t>
  </si>
  <si>
    <t xml:space="preserve">(619) 582-4948</t>
  </si>
  <si>
    <t xml:space="preserve">NO SITE — https://www.google.com/maps/place/?q=place_id:ChIJvbaJJJBR2YARxZpSrP9Y2Fk</t>
  </si>
  <si>
    <t xml:space="preserve">NO WEBSITE (hot lead) | 3.9★ 34 reviews | Score: 70</t>
  </si>
  <si>
    <t xml:space="preserve">VIP Cleaners</t>
  </si>
  <si>
    <t xml:space="preserve">5650 Lake Murray Blvd, La Mesa, CA 91942, USA</t>
  </si>
  <si>
    <t xml:space="preserve">(619) 460-7522</t>
  </si>
  <si>
    <t xml:space="preserve">NO SITE — https://www.google.com/maps/place/?q=place_id:ChIJI2O49AFX2YARqfUZPeMt8uo</t>
  </si>
  <si>
    <t xml:space="preserve">NO WEBSITE (hot lead) | 3.5★ 28 reviews | Score: 70</t>
  </si>
  <si>
    <t xml:space="preserve">Select Cleaners &amp; Laundry</t>
  </si>
  <si>
    <t xml:space="preserve">4666 University Ave #68, San Diego, CA 92105, USA</t>
  </si>
  <si>
    <t xml:space="preserve">(619) 282-7438</t>
  </si>
  <si>
    <t xml:space="preserve">NO SITE — https://www.google.com/maps/place/?q=place_id:ChIJ825RsxdU2YARTpcCzeo5XrU</t>
  </si>
  <si>
    <t xml:space="preserve">NO WEBSITE (hot lead) | 3.9★ 18 reviews | Score: 70</t>
  </si>
  <si>
    <t xml:space="preserve">Dry Clean 4 Less</t>
  </si>
  <si>
    <t xml:space="preserve">7424 Jackson Dr # 4, San Diego, CA 92119, USA</t>
  </si>
  <si>
    <t xml:space="preserve">(619) 825-8630</t>
  </si>
  <si>
    <t xml:space="preserve">NO SITE — https://www.google.com/maps/place/?q=place_id:ChIJwQsqvEdW2YARMHXuPVFQkCk</t>
  </si>
  <si>
    <t xml:space="preserve">NO WEBSITE (hot lead) | 4.1★ 17 reviews | Score: 70</t>
  </si>
  <si>
    <t xml:space="preserve">Nam Nguyen Tax Services</t>
  </si>
  <si>
    <t xml:space="preserve">4712 El Cajon Blvd B, San Diego, CA 92115, USA</t>
  </si>
  <si>
    <t xml:space="preserve">(619) 280-7276</t>
  </si>
  <si>
    <t xml:space="preserve">NO SITE — https://www.google.com/maps/place/?q=place_id:ChIJY8NTnzxU2YAR9EfBPZ1oRyk</t>
  </si>
  <si>
    <t xml:space="preserve">NO WEBSITE (hot lead) | 4.1★ 13 reviews | Score: 70</t>
  </si>
  <si>
    <t xml:space="preserve">El Cheapo Locksmith</t>
  </si>
  <si>
    <t xml:space="preserve">locksmith</t>
  </si>
  <si>
    <t xml:space="preserve">6161 El Cajon Blvd, San Diego, CA 92115, USA</t>
  </si>
  <si>
    <t xml:space="preserve">(619) 377-9091</t>
  </si>
  <si>
    <t xml:space="preserve">NO SITE — https://www.google.com/maps/place/?q=place_id:ChIJ7-Hdkp1X2YARvtD-rmV0GUQ</t>
  </si>
  <si>
    <t xml:space="preserve">NO WEBSITE (hot lead) | 3.5★ 8 reviews | Score: 70</t>
  </si>
  <si>
    <t xml:space="preserve">7415 Jackson Dr, San Diego, CA 92119, USA</t>
  </si>
  <si>
    <t xml:space="preserve">(619) 462-5820</t>
  </si>
  <si>
    <t xml:space="preserve">NO SITE — https://www.google.com/maps/place/?q=place_id:ChIJc4Ls4EdW2YARDq0La2yzNqc</t>
  </si>
  <si>
    <t xml:space="preserve">NO WEBSITE (hot lead) | 4★ 7 reviews | Score: 70</t>
  </si>
  <si>
    <t xml:space="preserve">Steven &amp; Associates</t>
  </si>
  <si>
    <t xml:space="preserve">4555 El Cajon Blvd # C, San Diego, CA 92115, USA</t>
  </si>
  <si>
    <t xml:space="preserve">(619) 624-9820</t>
  </si>
  <si>
    <t xml:space="preserve">NO SITE — https://www.google.com/maps/place/?q=place_id:ChIJCenTDzxU2YAR0QOULn3fuuU</t>
  </si>
  <si>
    <t xml:space="preserve">NO WEBSITE (hot lead) | 4.2★ 5 reviews | Score: 70</t>
  </si>
  <si>
    <t xml:space="preserve">Rhino Moving, LLC - Movers San Diego</t>
  </si>
  <si>
    <t xml:space="preserve">moving company</t>
  </si>
  <si>
    <t xml:space="preserve">4561 Mission Gorge Pl, San Diego, CA 92120, USA</t>
  </si>
  <si>
    <t xml:space="preserve">(855) 887-4466</t>
  </si>
  <si>
    <t xml:space="preserve">NO SITE — https://www.google.com/maps/place/?q=place_id:ChIJf5iAusBV2YAR2rXq7U-HFPM</t>
  </si>
  <si>
    <t xml:space="preserve">NO WEBSITE (hot lead) | 4.3★ 121 reviews | established - may have marketing already | Score: 60</t>
  </si>
  <si>
    <t xml:space="preserve">Cloud Nail Spa San Diego</t>
  </si>
  <si>
    <t xml:space="preserve">6375 El Cajon Blvd, San Diego, CA 92115, USA</t>
  </si>
  <si>
    <t xml:space="preserve">(619) 583-6666</t>
  </si>
  <si>
    <t xml:space="preserve">NO SITE — https://www.google.com/maps/place/?q=place_id:ChIJVyi-2lhX2YARujFzRXrsy68</t>
  </si>
  <si>
    <t xml:space="preserve">Mobile City Tax Services and Wireless</t>
  </si>
  <si>
    <t xml:space="preserve">5296 University Ave Suite F, San Diego, CA 92105, USA</t>
  </si>
  <si>
    <t xml:space="preserve">(619) 988-6836</t>
  </si>
  <si>
    <t xml:space="preserve">NO SITE — https://www.google.com/maps/place/?q=place_id:ChIJtwT97JdV2YARmPuqBO8Bwf8</t>
  </si>
  <si>
    <t xml:space="preserve">NO WEBSITE (hot lead) | 5★ 120 reviews | established - may have marketing already | Score: 60</t>
  </si>
  <si>
    <t xml:space="preserve">Los Reyes tire shop</t>
  </si>
  <si>
    <t xml:space="preserve">7267 El Cajon Blvd, San Diego, CA 92115, USA</t>
  </si>
  <si>
    <t xml:space="preserve">NO SITE — https://www.google.com/maps/place/?q=place_id:ChIJFywifuZW2YARgpw-49C0BCI</t>
  </si>
  <si>
    <t xml:space="preserve">NO WEBSITE (hot lead) | 4.4★ 116 reviews | established - may have marketing already | Score: 60</t>
  </si>
  <si>
    <t xml:space="preserve">Colin's Emergency Roofers</t>
  </si>
  <si>
    <t xml:space="preserve">6922 Mission Gorge Rd #9030, San Diego, CA 92120, USA</t>
  </si>
  <si>
    <t xml:space="preserve">(858) 923-4199</t>
  </si>
  <si>
    <t xml:space="preserve">NO SITE — https://www.google.com/maps/place/?q=place_id:ChIJF9U-5mRV2YARnYzw4lOSn0o</t>
  </si>
  <si>
    <t xml:space="preserve">NO WEBSITE (hot lead) | 4.8★ 112 reviews | established - may have marketing already | Score: 60</t>
  </si>
  <si>
    <t xml:space="preserve">A &amp; R Auto Repair</t>
  </si>
  <si>
    <t xml:space="preserve">4189 Rolando Blvd unit b, San Diego, CA 92115, USA</t>
  </si>
  <si>
    <t xml:space="preserve">(619) 255-5720</t>
  </si>
  <si>
    <t xml:space="preserve">NO SITE — https://www.google.com/maps/place/?q=place_id:ChIJR_rxzbhW2YAR7lvJH_X2m90</t>
  </si>
  <si>
    <t xml:space="preserve">NO WEBSITE (hot lead) | 4.8★ 92 reviews | Score: 60</t>
  </si>
  <si>
    <t xml:space="preserve">Nee's Hair &amp; Nails</t>
  </si>
  <si>
    <t xml:space="preserve">5435 El Cajon Blvd, San Diego, CA 92115, USA</t>
  </si>
  <si>
    <t xml:space="preserve">(619) 287-2005</t>
  </si>
  <si>
    <t xml:space="preserve">NO SITE — https://www.google.com/maps/place/?q=place_id:ChIJMfhhSZ5W2YARCcfzX5fIxJg</t>
  </si>
  <si>
    <t xml:space="preserve">NO WEBSITE (hot lead) | 4.5★ 79 reviews | Score: 60</t>
  </si>
  <si>
    <t xml:space="preserve">Lemon Grove Dry Cleaners</t>
  </si>
  <si>
    <t xml:space="preserve">6935 Federal Blvd, Lemon Grove, CA 91945, USA</t>
  </si>
  <si>
    <t xml:space="preserve">(619) 463-4555</t>
  </si>
  <si>
    <t xml:space="preserve">NO SITE — https://www.google.com/maps/place/?q=place_id:ChIJDVqpx8xW2YARzfCqyGon31E</t>
  </si>
  <si>
    <t xml:space="preserve">NO WEBSITE (hot lead) | 4.3★ 76 reviews | Score: 60</t>
  </si>
  <si>
    <t xml:space="preserve">Nails Expression</t>
  </si>
  <si>
    <t xml:space="preserve">6686 El Cajon Blvd # C, San Diego, CA 92115, USA</t>
  </si>
  <si>
    <t xml:space="preserve">(619) 464-1978</t>
  </si>
  <si>
    <t xml:space="preserve">NO SITE — https://www.google.com/maps/place/?q=place_id:ChIJC20MHu1W2YARsShT8aRFeGU</t>
  </si>
  <si>
    <t xml:space="preserve">NO WEBSITE (hot lead) | 4.4★ 71 reviews | Score: 60</t>
  </si>
  <si>
    <t xml:space="preserve">La Mesa Garage Door And Gate Repair</t>
  </si>
  <si>
    <t xml:space="preserve">7389 Jackson Dr, San Diego, CA 92119, USA</t>
  </si>
  <si>
    <t xml:space="preserve">(619) 598-0477</t>
  </si>
  <si>
    <t xml:space="preserve">NO SITE — https://www.google.com/maps/place/?q=place_id:ChIJy3L6_3tX2YAR99oB-4JnDMk</t>
  </si>
  <si>
    <t xml:space="preserve">NO WEBSITE (hot lead) | 5★ 70 reviews | Score: 60</t>
  </si>
  <si>
    <t xml:space="preserve">Wilder Nails &amp; Spa</t>
  </si>
  <si>
    <t xml:space="preserve">6784 El Cajon Blvd Suite E1, San Diego, CA 92115, USA</t>
  </si>
  <si>
    <t xml:space="preserve">(619) 212-5495</t>
  </si>
  <si>
    <t xml:space="preserve">NO SITE — https://www.google.com/maps/place/?q=place_id:ChIJlcmBqVpX2YARLzCCy_jRS8s</t>
  </si>
  <si>
    <t xml:space="preserve">NO WEBSITE (hot lead) | 4.6★ 70 reviews | Score: 60</t>
  </si>
  <si>
    <t xml:space="preserve">Star Barber</t>
  </si>
  <si>
    <t xml:space="preserve">6686 El Cajon Blvd ste b, San Diego, CA 92115, USA</t>
  </si>
  <si>
    <t xml:space="preserve">(619) 469-1496</t>
  </si>
  <si>
    <t xml:space="preserve">NO SITE — https://www.google.com/maps/place/?q=place_id:ChIJofJPZkhX2YARwSTMh26SFSI</t>
  </si>
  <si>
    <t xml:space="preserve">NO WEBSITE (hot lead) | 4.4★ 62 reviews | Score: 60</t>
  </si>
  <si>
    <t xml:space="preserve">Lena's Alterations &amp; Dry Cleaning</t>
  </si>
  <si>
    <t xml:space="preserve">7763 University Ave, La Mesa, CA 91942, USA</t>
  </si>
  <si>
    <t xml:space="preserve">(619) 698-1325</t>
  </si>
  <si>
    <t xml:space="preserve">NO SITE — https://www.google.com/maps/place/?q=place_id:ChIJg-SGwyBX2YARIFFmwGMxHrg</t>
  </si>
  <si>
    <t xml:space="preserve">NO WEBSITE (hot lead) | 4.8★ 62 reviews | Score: 60</t>
  </si>
  <si>
    <t xml:space="preserve">Key Maker Locksmith</t>
  </si>
  <si>
    <t xml:space="preserve">8900 Grossmont Blvd # 7, La Mesa, CA 91941, USA</t>
  </si>
  <si>
    <t xml:space="preserve">(619) 500-0100</t>
  </si>
  <si>
    <t xml:space="preserve">NO SITE — https://www.google.com/maps/place/?q=place_id:ChIJq1w0oE1X2YAR3NftkS-JD88</t>
  </si>
  <si>
    <t xml:space="preserve">NO WEBSITE (hot lead) | 5★ 60 reviews | Score: 60</t>
  </si>
  <si>
    <t xml:space="preserve">Vina Nails Spa</t>
  </si>
  <si>
    <t xml:space="preserve">6114 University Ave, San Diego, CA 92115, USA</t>
  </si>
  <si>
    <t xml:space="preserve">(619) 286-1998</t>
  </si>
  <si>
    <t xml:space="preserve">NO SITE — https://www.google.com/maps/place/?q=place_id:ChIJL_Oan7xW2YAReNUD70dJn9k</t>
  </si>
  <si>
    <t xml:space="preserve">NO WEBSITE (hot lead) | 4.3★ 60 reviews | Score: 60</t>
  </si>
  <si>
    <t xml:space="preserve">Tire World</t>
  </si>
  <si>
    <t xml:space="preserve">4750 El Cajon Blvd, San Diego, CA 92115, USA</t>
  </si>
  <si>
    <t xml:space="preserve">(619) 583-6060</t>
  </si>
  <si>
    <t xml:space="preserve">NO SITE — https://www.google.com/maps/place/?q=place_id:ChIJMRKKsDxU2YAR_mNjHP3SNMg</t>
  </si>
  <si>
    <t xml:space="preserve">NO WEBSITE (hot lead) | 4★ 89 reviews | Score: 50</t>
  </si>
  <si>
    <t xml:space="preserve">Hy Cleaners</t>
  </si>
  <si>
    <t xml:space="preserve">4441 El Cajon Blvd #4311, San Diego, CA 92115, USA</t>
  </si>
  <si>
    <t xml:space="preserve">(619) 283-6167</t>
  </si>
  <si>
    <t xml:space="preserve">NO SITE — https://www.google.com/maps/place/?q=place_id:ChIJpxs0yT5U2YARp9kdzTO04Y4</t>
  </si>
  <si>
    <t xml:space="preserve">NO WEBSITE (hot lead) | 4★ 80 reviews | Score: 50</t>
  </si>
  <si>
    <t xml:space="preserve">Cascade Cleaners</t>
  </si>
  <si>
    <t xml:space="preserve">6145 El Cajon Blvd # K, San Diego, CA 92115, USA</t>
  </si>
  <si>
    <t xml:space="preserve">(619) 583-4883</t>
  </si>
  <si>
    <t xml:space="preserve">NO SITE — https://www.google.com/maps/place/?q=place_id:ChIJ5ep_C5dW2YARnlHYa7eAStI</t>
  </si>
  <si>
    <t xml:space="preserve">NO WEBSITE (hot lead) | 3.4★ 27 reviews | Score: 50</t>
  </si>
  <si>
    <t xml:space="preserve">Thanh Nguyen Income Tax</t>
  </si>
  <si>
    <t xml:space="preserve">4776 El Cajon Blvd #201 #202, San Diego, CA 92115, USA</t>
  </si>
  <si>
    <t xml:space="preserve">(619) 229-1929</t>
  </si>
  <si>
    <t xml:space="preserve">NO SITE — https://www.google.com/maps/place/?q=place_id:ChIJgQIJRiNU2YARAGWvJX0F3FI</t>
  </si>
  <si>
    <t xml:space="preserve">NO WEBSITE (hot lead) | 2.3★ 20 reviews | Score: 50</t>
  </si>
  <si>
    <t xml:space="preserve">San Diego Roof Repair and ADU's</t>
  </si>
  <si>
    <t xml:space="preserve">404 Euclid Ave, San Diego, CA 92114, USA</t>
  </si>
  <si>
    <t xml:space="preserve">(760) 209-5032</t>
  </si>
  <si>
    <t xml:space="preserve">NO SITE — https://www.google.com/maps/place/?q=place_id:ChIJq1QhdwFR2YARxYAeLUV9sp8</t>
  </si>
  <si>
    <t xml:space="preserve">NO WEBSITE (hot lead) | 0★ 0 reviews | Score: 50</t>
  </si>
  <si>
    <t xml:space="preserve">Lock Techs</t>
  </si>
  <si>
    <t xml:space="preserve">6580 El Cajon Blvd Ste c, San Diego, CA 92115, USA</t>
  </si>
  <si>
    <t xml:space="preserve">(619) 737-2266</t>
  </si>
  <si>
    <t xml:space="preserve">NO SITE — https://www.google.com/maps/place/?q=place_id:ChIJ6aAKbrZT2YARsV82u7Opmhw</t>
  </si>
  <si>
    <t xml:space="preserve">NO WEBSITE (hot lead) | 4.6★ 299 reviews | established - may have marketing already | Score: 30</t>
  </si>
  <si>
    <t xml:space="preserve">Sam’s Barbershop</t>
  </si>
  <si>
    <t xml:space="preserve">5871 University Ave Ste 332, San Diego, CA 92115, USA</t>
  </si>
  <si>
    <t xml:space="preserve">(619) 229-1655</t>
  </si>
  <si>
    <t xml:space="preserve">NO SITE — https://www.google.com/maps/place/?q=place_id:ChIJxYdD56RW2YAR7mLoTdkusIA</t>
  </si>
  <si>
    <t xml:space="preserve">NO WEBSITE (hot lead) | 4.3★ 219 reviews | established - may have marketing already | Score: 30</t>
  </si>
  <si>
    <t xml:space="preserve">Tam's Alteration &amp; Dry Cleaning</t>
  </si>
  <si>
    <t xml:space="preserve">8207 La Mesa Blvd, La Mesa, CA 91942, USA</t>
  </si>
  <si>
    <t xml:space="preserve">(619) 303-3367</t>
  </si>
  <si>
    <t xml:space="preserve">NO SITE — https://www.google.com/maps/place/?q=place_id:ChIJkZLJSCNX2YARx4b7W33LBdI</t>
  </si>
  <si>
    <t xml:space="preserve">NO WEBSITE (hot lead) | 4.8★ 209 reviews | established - may have marketing already | Score: 30</t>
  </si>
  <si>
    <t xml:space="preserve">Henry's Auto Repair</t>
  </si>
  <si>
    <t xml:space="preserve">4881 University Ave, San Diego, CA 92105, USA</t>
  </si>
  <si>
    <t xml:space="preserve">(619) 563-8788</t>
  </si>
  <si>
    <t xml:space="preserve">NO SITE — https://www.google.com/maps/place/?q=place_id:ChIJAWs_ffRV2YARsYImYgDrbBw</t>
  </si>
  <si>
    <t xml:space="preserve">NO WEBSITE (hot lead) | 4.6★ 199 reviews | established - may have marketing already | Score: 30</t>
  </si>
  <si>
    <t xml:space="preserve">San Diego, CPA A Professional Tax &amp; Accountancy Corporation</t>
  </si>
  <si>
    <t xml:space="preserve">7317 El Cajon Blvd, La Mesa, CA 91942, USA</t>
  </si>
  <si>
    <t xml:space="preserve">(858) 800-3888</t>
  </si>
  <si>
    <t xml:space="preserve">http://www.sandiegocpas.com/</t>
  </si>
  <si>
    <t xml:space="preserve">4.8★ 59 reviews | Score: 30</t>
  </si>
  <si>
    <t xml:space="preserve">Effective Fitness</t>
  </si>
  <si>
    <t xml:space="preserve">personal trainer</t>
  </si>
  <si>
    <t xml:space="preserve">5611 Lake Murray Blvd # 102, La Mesa, CA 91942, USA</t>
  </si>
  <si>
    <t xml:space="preserve">(619) 784-6715</t>
  </si>
  <si>
    <t xml:space="preserve">http://www.effectiveforlife.com/</t>
  </si>
  <si>
    <t xml:space="preserve">5★ 59 reviews | Score: 30</t>
  </si>
  <si>
    <t xml:space="preserve">TRUST Moving and Storage</t>
  </si>
  <si>
    <t xml:space="preserve">6850 Mission Gorge Rd, San Diego, CA 92120, USA</t>
  </si>
  <si>
    <t xml:space="preserve">(619) 861-9191</t>
  </si>
  <si>
    <t xml:space="preserve">http://trustmovingandstorageca.com/</t>
  </si>
  <si>
    <t xml:space="preserve">4.9★ 57 reviews | Score: 30</t>
  </si>
  <si>
    <t xml:space="preserve">Lightning Electric</t>
  </si>
  <si>
    <t xml:space="preserve">6161 El Cajon Blvd b417, San Diego, CA 92115, USA</t>
  </si>
  <si>
    <t xml:space="preserve">(619) 403-1793</t>
  </si>
  <si>
    <t xml:space="preserve">http://lightningfastelectric.us/</t>
  </si>
  <si>
    <t xml:space="preserve">5★ 57 reviews | Score: 30</t>
  </si>
  <si>
    <t xml:space="preserve">Royal Kutz</t>
  </si>
  <si>
    <t xml:space="preserve">6790 University Ave, San Diego, CA 92115, USA</t>
  </si>
  <si>
    <t xml:space="preserve">(619) 542-9696</t>
  </si>
  <si>
    <t xml:space="preserve">http://royalkutz.com/</t>
  </si>
  <si>
    <t xml:space="preserve">4.9★ 56 reviews | Score: 30</t>
  </si>
  <si>
    <t xml:space="preserve">Masterlyne Corporation</t>
  </si>
  <si>
    <t xml:space="preserve">7364 El Cajon Blvd, San Diego, CA 92115, USA</t>
  </si>
  <si>
    <t xml:space="preserve">(619) 698-4023</t>
  </si>
  <si>
    <t xml:space="preserve">https://masterlyne.com/</t>
  </si>
  <si>
    <t xml:space="preserve">5★ 54 reviews | Score: 30</t>
  </si>
  <si>
    <t xml:space="preserve">Bestway Appliance Repair</t>
  </si>
  <si>
    <t xml:space="preserve">4011 Louisiana St, San Diego, CA 92104, USA</t>
  </si>
  <si>
    <t xml:space="preserve">(619) 724-4288</t>
  </si>
  <si>
    <t xml:space="preserve">http://bestway-appliancerepair.com/san-diego</t>
  </si>
  <si>
    <t xml:space="preserve">4.9★ 51 reviews | Score: 30</t>
  </si>
  <si>
    <t xml:space="preserve">147Photos</t>
  </si>
  <si>
    <t xml:space="preserve">wedding photographer</t>
  </si>
  <si>
    <t xml:space="preserve">4767 Jessie Ave UNIT D, La Mesa, CA 91942, USA</t>
  </si>
  <si>
    <t xml:space="preserve">(858) 634-9920</t>
  </si>
  <si>
    <t xml:space="preserve">http://147photos.com/</t>
  </si>
  <si>
    <t xml:space="preserve">5★ 50 reviews | Score: 30</t>
  </si>
  <si>
    <t xml:space="preserve">KettleFlex Fitness</t>
  </si>
  <si>
    <t xml:space="preserve">6210 El Cajon Blvd, San Diego, CA 92115, USA</t>
  </si>
  <si>
    <t xml:space="preserve">(619) 438-0494</t>
  </si>
  <si>
    <t xml:space="preserve">https://www.kettleflex.com/</t>
  </si>
  <si>
    <t xml:space="preserve">5★ 49 reviews | Score: 30</t>
  </si>
  <si>
    <t xml:space="preserve">Exclusively Roofing Inc.</t>
  </si>
  <si>
    <t xml:space="preserve">4013 Texas St UNIT 4, San Diego, CA 92104, USA</t>
  </si>
  <si>
    <t xml:space="preserve">(619) 663-1261</t>
  </si>
  <si>
    <t xml:space="preserve">https://www.exclusivelyroofinginc.com/</t>
  </si>
  <si>
    <t xml:space="preserve">5★ 46 reviews | Score: 30</t>
  </si>
  <si>
    <t xml:space="preserve">Kwest Flooring Services</t>
  </si>
  <si>
    <t xml:space="preserve">7088 El Cajon Blvd, San Diego, CA 92115, USA</t>
  </si>
  <si>
    <t xml:space="preserve">(619) 647-7432</t>
  </si>
  <si>
    <t xml:space="preserve">http://www.sdlaminateandcarpet.com/</t>
  </si>
  <si>
    <t xml:space="preserve">4.8★ 46 reviews | Score: 30</t>
  </si>
  <si>
    <t xml:space="preserve">Appliance and More</t>
  </si>
  <si>
    <t xml:space="preserve">5800 Lake Murray Blvd UNIT 21, La Mesa, CA 91942, USA</t>
  </si>
  <si>
    <t xml:space="preserve">(619) 750-2176</t>
  </si>
  <si>
    <t xml:space="preserve">https://www.appliancenmore.com/</t>
  </si>
  <si>
    <t xml:space="preserve">4.6★ 45 reviews | Score: 30</t>
  </si>
  <si>
    <t xml:space="preserve">PoolLogic Pool and Spa Service</t>
  </si>
  <si>
    <t xml:space="preserve">1223 Cleveland Ave #200-301, San Diego, CA 92103, USA</t>
  </si>
  <si>
    <t xml:space="preserve">(619) 502-9056</t>
  </si>
  <si>
    <t xml:space="preserve">https://poollogicsd.com/?utm_source=google_my_business&amp;utm_medium=organic&amp;utm_campaign=gbp_PoolLogicSD</t>
  </si>
  <si>
    <t xml:space="preserve">4.9★ 44 reviews | Score: 30</t>
  </si>
  <si>
    <t xml:space="preserve">Portal Garage Door And Gate Repair</t>
  </si>
  <si>
    <t xml:space="preserve">6734 Solita Ave, San Diego, CA 92115, USA</t>
  </si>
  <si>
    <t xml:space="preserve">(858) 492-0482</t>
  </si>
  <si>
    <t xml:space="preserve">http://portalgd.com/</t>
  </si>
  <si>
    <t xml:space="preserve">4.7★ 43 reviews | Score: 30</t>
  </si>
  <si>
    <t xml:space="preserve">San Diego Roofing, INC.</t>
  </si>
  <si>
    <t xml:space="preserve">2811 Adams Ave, San Diego, CA 92116, USA</t>
  </si>
  <si>
    <t xml:space="preserve">(619) 280-1000</t>
  </si>
  <si>
    <t xml:space="preserve">http://www.sandiegoroofing.com/</t>
  </si>
  <si>
    <t xml:space="preserve">4.5★ 42 reviews | Score: 30</t>
  </si>
  <si>
    <t xml:space="preserve">Fabulous Homes Heating &amp; Air</t>
  </si>
  <si>
    <t xml:space="preserve">7290 Mohawk St Lot A, San Diego, CA 92115, USA</t>
  </si>
  <si>
    <t xml:space="preserve">(619) 889-5834</t>
  </si>
  <si>
    <t xml:space="preserve">https://www.fabuloushomesheatingandair.com/</t>
  </si>
  <si>
    <t xml:space="preserve">5★ 41 reviews | Score: 30</t>
  </si>
  <si>
    <t xml:space="preserve">Multi Appliance Repair - San Diego, CA</t>
  </si>
  <si>
    <t xml:space="preserve">6161 Fairmount Ave unit 180, San Diego, CA 92120, USA</t>
  </si>
  <si>
    <t xml:space="preserve">(760) 496-3031</t>
  </si>
  <si>
    <t xml:space="preserve">http://multiappliances.com/</t>
  </si>
  <si>
    <t xml:space="preserve">4.7★ 41 reviews | Score: 30</t>
  </si>
  <si>
    <t xml:space="preserve">Chris Wojdak Photography</t>
  </si>
  <si>
    <t xml:space="preserve">529 Market St, San Diego, CA 92101, USA</t>
  </si>
  <si>
    <t xml:space="preserve">(619) 500-4270</t>
  </si>
  <si>
    <t xml:space="preserve">http://www.chriswojdak.com/</t>
  </si>
  <si>
    <t xml:space="preserve">5★ 40 reviews | Score: 30</t>
  </si>
  <si>
    <t xml:space="preserve">Finest San Diego Carpet Cleaning</t>
  </si>
  <si>
    <t xml:space="preserve">carpet cleaning</t>
  </si>
  <si>
    <t xml:space="preserve">6505 Mission Gorge Rd Suite 131, San Diego, CA 92120, USA</t>
  </si>
  <si>
    <t xml:space="preserve">(619) 330-3433</t>
  </si>
  <si>
    <t xml:space="preserve">https://carpetcleaningsandiego.city/</t>
  </si>
  <si>
    <t xml:space="preserve">4.8★ 39 reviews | Score: 30</t>
  </si>
  <si>
    <t xml:space="preserve">Interwest Electric</t>
  </si>
  <si>
    <t xml:space="preserve">5837 Mission Gorge Rd STE #D, San Diego, CA 92120, USA</t>
  </si>
  <si>
    <t xml:space="preserve">(619) 604-9120</t>
  </si>
  <si>
    <t xml:space="preserve">http://www.interwestelectric.com/</t>
  </si>
  <si>
    <t xml:space="preserve">4.9★ 39 reviews | Score: 30</t>
  </si>
  <si>
    <t xml:space="preserve">Advanced Carpet Cleaners</t>
  </si>
  <si>
    <t xml:space="preserve">4276 54th Pl STE 270, San Diego, CA 92115, USA</t>
  </si>
  <si>
    <t xml:space="preserve">(619) 330-0042</t>
  </si>
  <si>
    <t xml:space="preserve">https://carpetcleaningsandiego.site/</t>
  </si>
  <si>
    <t xml:space="preserve">4.7★ 38 reviews | Score: 30</t>
  </si>
  <si>
    <t xml:space="preserve">C.M. Carpet Cleaning</t>
  </si>
  <si>
    <t xml:space="preserve">7879 El Cajon Blvd Suite 206, La Mesa, CA 91942, USA</t>
  </si>
  <si>
    <t xml:space="preserve">(619) 853-3336</t>
  </si>
  <si>
    <t xml:space="preserve">https://carpetcleanerslamesa.com/</t>
  </si>
  <si>
    <t xml:space="preserve">4.8★ 38 reviews | Score: 30</t>
  </si>
  <si>
    <t xml:space="preserve">ESSNTL Barbers</t>
  </si>
  <si>
    <t xml:space="preserve">5969 El Cajon Blvd, San Diego, CA 92115, USA</t>
  </si>
  <si>
    <t xml:space="preserve">(619) 539-7569</t>
  </si>
  <si>
    <t xml:space="preserve">https://www.essntlbarbers.com/</t>
  </si>
  <si>
    <t xml:space="preserve">5★ 36 reviews | Score: 30</t>
  </si>
  <si>
    <t xml:space="preserve">Earned Fitness SD</t>
  </si>
  <si>
    <t xml:space="preserve">6690 Mission Gorge Rd Suite O, San Diego, CA 92120, USA</t>
  </si>
  <si>
    <t xml:space="preserve">(858) 302-2069</t>
  </si>
  <si>
    <t xml:space="preserve">http://www.earnedfitnesssd.com/</t>
  </si>
  <si>
    <t xml:space="preserve">Dave Suda Landscape</t>
  </si>
  <si>
    <t xml:space="preserve">4385 Twain Ave, San Diego, CA 92120, USA</t>
  </si>
  <si>
    <t xml:space="preserve">(619) 229-1316</t>
  </si>
  <si>
    <t xml:space="preserve">https://www.davesudalandscape.com/</t>
  </si>
  <si>
    <t xml:space="preserve">5★ 35 reviews | Score: 30</t>
  </si>
  <si>
    <t xml:space="preserve">All about Flooring</t>
  </si>
  <si>
    <t xml:space="preserve">4046 44th St, San Diego, CA 92105, USA</t>
  </si>
  <si>
    <t xml:space="preserve">(619) 882-8832</t>
  </si>
  <si>
    <t xml:space="preserve">https://www.allaboutflooringinsd.com/</t>
  </si>
  <si>
    <t xml:space="preserve">Justice Photography</t>
  </si>
  <si>
    <t xml:space="preserve">4252 Cleveland Ave, San Diego, CA 92103, USA</t>
  </si>
  <si>
    <t xml:space="preserve">(760) 936-7854</t>
  </si>
  <si>
    <t xml:space="preserve">https://www.justicephoto.com/</t>
  </si>
  <si>
    <t xml:space="preserve">Nature's Elements Landscaping</t>
  </si>
  <si>
    <t xml:space="preserve">7541 Mission Gorge Rd, San Diego, CA 92120, USA</t>
  </si>
  <si>
    <t xml:space="preserve">(619) 312-3418</t>
  </si>
  <si>
    <t xml:space="preserve">https://www.natureselementslandscaping.com/</t>
  </si>
  <si>
    <t xml:space="preserve">4.8★ 34 reviews | Score: 30</t>
  </si>
  <si>
    <t xml:space="preserve">MVMNT Studio</t>
  </si>
  <si>
    <t xml:space="preserve">5702 El Cajon Blvd, San Diego, CA 92115, USA</t>
  </si>
  <si>
    <t xml:space="preserve">(860) 378-4608</t>
  </si>
  <si>
    <t xml:space="preserve">https://mvmntstudio.com/</t>
  </si>
  <si>
    <t xml:space="preserve">5★ 34 reviews | Score: 30</t>
  </si>
  <si>
    <t xml:space="preserve">619 Window Cleaning</t>
  </si>
  <si>
    <t xml:space="preserve">2064 Ventana Way, El Cajon, CA 92020, USA</t>
  </si>
  <si>
    <t xml:space="preserve">(619) 977-7010</t>
  </si>
  <si>
    <t xml:space="preserve">http://619windowcleaning.com/</t>
  </si>
  <si>
    <t xml:space="preserve">5★ 33 reviews | Score: 30</t>
  </si>
  <si>
    <t xml:space="preserve">GL Pools - San Diego Pool Service</t>
  </si>
  <si>
    <t xml:space="preserve">7485 Ronson Rd, San Diego, CA 92111, USA</t>
  </si>
  <si>
    <t xml:space="preserve">(619) 762-4744</t>
  </si>
  <si>
    <t xml:space="preserve">https://glpools.com/pool-service-san-diego/</t>
  </si>
  <si>
    <t xml:space="preserve">4.9★ 33 reviews | Score: 30</t>
  </si>
  <si>
    <t xml:space="preserve">Diamond Pool Service</t>
  </si>
  <si>
    <t xml:space="preserve">10744 Rockvill St, Santee, CA 92071, USA</t>
  </si>
  <si>
    <t xml:space="preserve">(619) 929-0309</t>
  </si>
  <si>
    <t xml:space="preserve">http://www.poolofdiamonds.com/</t>
  </si>
  <si>
    <t xml:space="preserve">San Diego Custom Painting</t>
  </si>
  <si>
    <t xml:space="preserve">9413 Cape Cod Ct, Spring Valley, CA 91977, USA</t>
  </si>
  <si>
    <t xml:space="preserve">(619) 464-4030</t>
  </si>
  <si>
    <t xml:space="preserve">https://sdcustompainting.com/?utm_source=google&amp;utm_medium=organic&amp;utm_campaign=gbp</t>
  </si>
  <si>
    <t xml:space="preserve">5★ 32 reviews | Score: 30</t>
  </si>
  <si>
    <t xml:space="preserve">Supreme Power Wash</t>
  </si>
  <si>
    <t xml:space="preserve">pressure washing</t>
  </si>
  <si>
    <t xml:space="preserve">9920 Pacific Heights Blvd Suite 150 5105, San Diego, CA 92121, USA</t>
  </si>
  <si>
    <t xml:space="preserve">(619) 374-9016</t>
  </si>
  <si>
    <t xml:space="preserve">https://www.powerwashandmore.com/</t>
  </si>
  <si>
    <t xml:space="preserve">4.9★ 31 reviews | Score: 30</t>
  </si>
  <si>
    <t xml:space="preserve">Aldape G Landscaping Inc</t>
  </si>
  <si>
    <t xml:space="preserve">6435 Tooley St, San Diego, CA 92114, USA</t>
  </si>
  <si>
    <t xml:space="preserve">(619) 646-1046</t>
  </si>
  <si>
    <t xml:space="preserve">https://aldapeglandscaping.com/</t>
  </si>
  <si>
    <t xml:space="preserve">5★ 30 reviews | Score: 30</t>
  </si>
  <si>
    <t xml:space="preserve">Professional Window Cleaning SD</t>
  </si>
  <si>
    <t xml:space="preserve">300 Thornton Dr, El Cajon, CA 92021, USA</t>
  </si>
  <si>
    <t xml:space="preserve">(619) 930-2539</t>
  </si>
  <si>
    <t xml:space="preserve">https://pwc-sd.com/</t>
  </si>
  <si>
    <t xml:space="preserve">Innova Pro Painting</t>
  </si>
  <si>
    <t xml:space="preserve">391 Los Soneto Dr, San Diego, CA 92114, USA</t>
  </si>
  <si>
    <t xml:space="preserve">(619) 362-6422</t>
  </si>
  <si>
    <t xml:space="preserve">https://instagram.com/innova_pro_painting?igshid=OGQ5ZDc2ODk2ZA==</t>
  </si>
  <si>
    <t xml:space="preserve">JBC Termite &amp; Pest Control</t>
  </si>
  <si>
    <t xml:space="preserve">pest control</t>
  </si>
  <si>
    <t xml:space="preserve">4656 34th St #3, San Diego, CA 92116, USA</t>
  </si>
  <si>
    <t xml:space="preserve">(714) 878-1916</t>
  </si>
  <si>
    <t xml:space="preserve">https://jbctermitepestcontrolincca.com/</t>
  </si>
  <si>
    <t xml:space="preserve">5★ 29 reviews | small + well-liked | Score: 30</t>
  </si>
  <si>
    <t xml:space="preserve">Huy's Auto Repair</t>
  </si>
  <si>
    <t xml:space="preserve">4548 El Cajon Blvd, San Diego, CA 92115, USA</t>
  </si>
  <si>
    <t xml:space="preserve">(619) 640-3410</t>
  </si>
  <si>
    <t xml:space="preserve">https://findaloco.com/directory/huys-auto-repair/</t>
  </si>
  <si>
    <t xml:space="preserve">4.9★ 29 reviews | small + well-liked | Score: 30</t>
  </si>
  <si>
    <t xml:space="preserve">Taylor Made Window Cleaning</t>
  </si>
  <si>
    <t xml:space="preserve">2848 Glen Canyon Cir, Spring Valley, CA 91977, USA</t>
  </si>
  <si>
    <t xml:space="preserve">(619) 981-0169</t>
  </si>
  <si>
    <t xml:space="preserve">https://www.taylormadewindowcleaning.com/</t>
  </si>
  <si>
    <t xml:space="preserve">5★ 28 reviews | small + well-liked | Score: 30</t>
  </si>
  <si>
    <t xml:space="preserve">American Pride Carpet Cleaners</t>
  </si>
  <si>
    <t xml:space="preserve">3770 Altadena Ave. #500, San Diego, CA 92105, USA</t>
  </si>
  <si>
    <t xml:space="preserve">(619) 344-0005</t>
  </si>
  <si>
    <t xml:space="preserve">https://superiorcarpets.homes/</t>
  </si>
  <si>
    <t xml:space="preserve">4.9★ 28 reviews | small + well-liked | Score: 30</t>
  </si>
  <si>
    <t xml:space="preserve">Beauty Bar and Lashes</t>
  </si>
  <si>
    <t xml:space="preserve">lash studio</t>
  </si>
  <si>
    <t xml:space="preserve">3633 Camino del Rio S, San Diego, CA 92116, USA</t>
  </si>
  <si>
    <t xml:space="preserve">(619) 902-0494</t>
  </si>
  <si>
    <t xml:space="preserve">https://sandiegobeautybarlashes.com/contact</t>
  </si>
  <si>
    <t xml:space="preserve">High-Point Painting</t>
  </si>
  <si>
    <t xml:space="preserve">7320 Colony Rd, La Mesa, CA 91942, USA</t>
  </si>
  <si>
    <t xml:space="preserve">(619) 250-9743</t>
  </si>
  <si>
    <t xml:space="preserve">http://www.highpointpaintingsd.com/</t>
  </si>
  <si>
    <t xml:space="preserve">5★ 27 reviews | small + well-liked | Score: 30</t>
  </si>
  <si>
    <t xml:space="preserve">American Painting | San Diego House Painting</t>
  </si>
  <si>
    <t xml:space="preserve">3625 Budd St, San Diego, CA 92111, USA</t>
  </si>
  <si>
    <t xml:space="preserve">(858) 255-4565</t>
  </si>
  <si>
    <t xml:space="preserve">https://sandiegohousepainting.com/</t>
  </si>
  <si>
    <t xml:space="preserve">4.9★ 27 reviews | small + well-liked | Score: 30</t>
  </si>
  <si>
    <t xml:space="preserve">The Beauty Trap</t>
  </si>
  <si>
    <t xml:space="preserve">8055 La Mesa Blvd #101, La Mesa, CA 91942, USA</t>
  </si>
  <si>
    <t xml:space="preserve">(619) 245-3997</t>
  </si>
  <si>
    <t xml:space="preserve">https://sdbeautytrap.com/</t>
  </si>
  <si>
    <t xml:space="preserve">Martinizing</t>
  </si>
  <si>
    <t xml:space="preserve">8680 Navajo Rd, San Diego, CA 92119, USA</t>
  </si>
  <si>
    <t xml:space="preserve">(619) 466-6584</t>
  </si>
  <si>
    <t xml:space="preserve">https://martinizing.com/san-diego-navajo-rd</t>
  </si>
  <si>
    <t xml:space="preserve">4.3★ 26 reviews | small + well-liked | Score: 30</t>
  </si>
  <si>
    <t xml:space="preserve">Strong Made Simple</t>
  </si>
  <si>
    <t xml:space="preserve">5301 55th St, San Diego, CA 92115, USA</t>
  </si>
  <si>
    <t xml:space="preserve">(619) 940-4822</t>
  </si>
  <si>
    <t xml:space="preserve">https://strongmadesimple.com/</t>
  </si>
  <si>
    <t xml:space="preserve">5★ 26 reviews | small + well-liked | Score: 30</t>
  </si>
  <si>
    <t xml:space="preserve">Nice Guys Carpet Cleaning &amp; Restoration</t>
  </si>
  <si>
    <t xml:space="preserve">4127 Wightman St, San Diego, CA 92105, USA</t>
  </si>
  <si>
    <t xml:space="preserve">(619) 402-5596</t>
  </si>
  <si>
    <t xml:space="preserve">https://www.niceguyscarpetcleaningandrestoration.com/</t>
  </si>
  <si>
    <t xml:space="preserve">4.9★ 25 reviews | small + well-liked | Score: 30</t>
  </si>
  <si>
    <t xml:space="preserve">The Networc Barbershop</t>
  </si>
  <si>
    <t xml:space="preserve">(619) 815-4565</t>
  </si>
  <si>
    <t xml:space="preserve">https://sandiegomenshaircuts.com/</t>
  </si>
  <si>
    <t xml:space="preserve">4.6★ 25 reviews | small + well-liked | Score: 30</t>
  </si>
  <si>
    <t xml:space="preserve">Martin Roofing</t>
  </si>
  <si>
    <t xml:space="preserve">6608 Federal Blvd, Lemon Grove, CA 91945, USA</t>
  </si>
  <si>
    <t xml:space="preserve">(619) 287-6860</t>
  </si>
  <si>
    <t xml:space="preserve">https://www.martinroofing.net/</t>
  </si>
  <si>
    <t xml:space="preserve">4.8★ 24 reviews | small + well-liked | Score: 30</t>
  </si>
  <si>
    <t xml:space="preserve">Sun Diego Landscape &amp; Design</t>
  </si>
  <si>
    <t xml:space="preserve">2358 University Ave, San Diego, CA 92104, USA</t>
  </si>
  <si>
    <t xml:space="preserve">(619) 779-4884</t>
  </si>
  <si>
    <t xml:space="preserve">http://www.sundiegolandscapeanddesign.com/</t>
  </si>
  <si>
    <t xml:space="preserve">5★ 23 reviews | small + well-liked | Score: 30</t>
  </si>
  <si>
    <t xml:space="preserve">ECC TILE SERVICES</t>
  </si>
  <si>
    <t xml:space="preserve">3242 A Kempf St, Lemon Grove, CA 91945, USA</t>
  </si>
  <si>
    <t xml:space="preserve">(619) 327-8258</t>
  </si>
  <si>
    <t xml:space="preserve">https://www.instagram.com/ecc_tile?igsh=NTc4MTIwNjQ2YQ%3D%3D&amp;utm_source=qr</t>
  </si>
  <si>
    <t xml:space="preserve">5★ 22 reviews | small + well-liked | Score: 30</t>
  </si>
  <si>
    <t xml:space="preserve">San Diego Painting Pros</t>
  </si>
  <si>
    <t xml:space="preserve">2003 Bayview Heights Dr SPC 146, San Diego, CA 92105, USA</t>
  </si>
  <si>
    <t xml:space="preserve">(858) 293-8755</t>
  </si>
  <si>
    <t xml:space="preserve">https://www.sandiegopaintingpros.co/</t>
  </si>
  <si>
    <t xml:space="preserve">5★ 20 reviews | small + well-liked | Score: 30</t>
  </si>
  <si>
    <t xml:space="preserve">Cabana Pool Service</t>
  </si>
  <si>
    <t xml:space="preserve">1223 Cleveland Ave Ste 200-305, San Diego, CA 92103, USA</t>
  </si>
  <si>
    <t xml:space="preserve">(619) 789-0644</t>
  </si>
  <si>
    <t xml:space="preserve">https://cabanapools.com/california/san-diego-pool-service/?utm_source=google_my_business&amp;utm_medium=organic&amp;utm_campaign=gbp_Cabana_SanDiego</t>
  </si>
  <si>
    <t xml:space="preserve">So Cal Cleaning Services</t>
  </si>
  <si>
    <t xml:space="preserve">7616 Conestoga Way, San Diego, CA 92120, USA</t>
  </si>
  <si>
    <t xml:space="preserve">(619) 610-7436</t>
  </si>
  <si>
    <t xml:space="preserve">https://socalcleaningservices.com/</t>
  </si>
  <si>
    <t xml:space="preserve">5★ 18 reviews | small + well-liked | Score: 30</t>
  </si>
  <si>
    <t xml:space="preserve">Blue Tide Swimming Pool Service &amp; Repair</t>
  </si>
  <si>
    <t xml:space="preserve">6977 Navajo Rd, San Diego, CA 92119, USA</t>
  </si>
  <si>
    <t xml:space="preserve">(619) 820-3377</t>
  </si>
  <si>
    <t xml:space="preserve">http://www.bluetidepoolservice.com/</t>
  </si>
  <si>
    <t xml:space="preserve">NORDBY PAINTING</t>
  </si>
  <si>
    <t xml:space="preserve">3530 Sparling St, San Diego, CA 92115, USA</t>
  </si>
  <si>
    <t xml:space="preserve">(619) 386-0121</t>
  </si>
  <si>
    <t xml:space="preserve">http://nordbypainting.com/</t>
  </si>
  <si>
    <t xml:space="preserve">5★ 17 reviews | small + well-liked | Score: 30</t>
  </si>
  <si>
    <t xml:space="preserve">Miss Eyelash Studio</t>
  </si>
  <si>
    <t xml:space="preserve">8132 La Mesa Blvd, La Mesa, CA 91942, USA</t>
  </si>
  <si>
    <t xml:space="preserve">(619) 606-3369</t>
  </si>
  <si>
    <t xml:space="preserve">http://misseyelashstudio.com/</t>
  </si>
  <si>
    <t xml:space="preserve">4.4★ 17 reviews | small + well-liked | Score: 30</t>
  </si>
  <si>
    <t xml:space="preserve">Hue Theory by Jenn Young</t>
  </si>
  <si>
    <t xml:space="preserve">(619) 614-7278</t>
  </si>
  <si>
    <t xml:space="preserve">https://www.huetheory.net/</t>
  </si>
  <si>
    <t xml:space="preserve">PHYZEKE FITNESS</t>
  </si>
  <si>
    <t xml:space="preserve">8380 Center Dr, La Mesa, CA 91942, USA</t>
  </si>
  <si>
    <t xml:space="preserve">(619) 806-7877</t>
  </si>
  <si>
    <t xml:space="preserve">https://www.werkfitness.com/zeke-casas-personal-trainer</t>
  </si>
  <si>
    <t xml:space="preserve">Knott's Pest Control Inc.</t>
  </si>
  <si>
    <t xml:space="preserve">5141 Guild St, La Mesa, CA 91942, USA</t>
  </si>
  <si>
    <t xml:space="preserve">(619) 320-1506</t>
  </si>
  <si>
    <t xml:space="preserve">https://www.knottspestsd.com/</t>
  </si>
  <si>
    <t xml:space="preserve">4.8★ 16 reviews | small + well-liked | Score: 30</t>
  </si>
  <si>
    <t xml:space="preserve">Balboa Electric</t>
  </si>
  <si>
    <t xml:space="preserve">7567 El Cajon Blvd Unit 8, La Mesa, CA 91942, USA</t>
  </si>
  <si>
    <t xml:space="preserve">(619) 928-9894</t>
  </si>
  <si>
    <t xml:space="preserve">http://www.balboaelectric.com/</t>
  </si>
  <si>
    <t xml:space="preserve">5★ 16 reviews | small + well-liked | Score: 30</t>
  </si>
  <si>
    <t xml:space="preserve">Anthony Sawh Fitness</t>
  </si>
  <si>
    <t xml:space="preserve">(619) 274-1241</t>
  </si>
  <si>
    <t xml:space="preserve">http://anthonysawh.com/</t>
  </si>
  <si>
    <t xml:space="preserve">Steve Schott Landscaping</t>
  </si>
  <si>
    <t xml:space="preserve">3676 38th St, San Diego, CA 92105, USA</t>
  </si>
  <si>
    <t xml:space="preserve">(619) 733-8194</t>
  </si>
  <si>
    <t xml:space="preserve">http://www.steveschottlandscaping.com/</t>
  </si>
  <si>
    <t xml:space="preserve">5★ 14 reviews | small + well-liked | Score: 30</t>
  </si>
  <si>
    <t xml:space="preserve">Affordable Wedding Photographer San Diego</t>
  </si>
  <si>
    <t xml:space="preserve">1050 B St apt. 209, San Diego, CA 92101, USA</t>
  </si>
  <si>
    <t xml:space="preserve">(858) 208-3562</t>
  </si>
  <si>
    <t xml:space="preserve">https://www.affordableweddingphotographersandiego.com/</t>
  </si>
  <si>
    <t xml:space="preserve">Affordable Wedding Planner San Diego / Cheap DJ, Photography, Videography &amp; More!</t>
  </si>
  <si>
    <t xml:space="preserve">6161 Fairmount Ave, San Diego, CA 92120, USA</t>
  </si>
  <si>
    <t xml:space="preserve">(858) 754-8887</t>
  </si>
  <si>
    <t xml:space="preserve">https://cheapweddingplannersandiego.com/</t>
  </si>
  <si>
    <t xml:space="preserve">Sun Diego Tile Installations</t>
  </si>
  <si>
    <t xml:space="preserve">4144 Alabama St Apt #3, San Diego, CA 92104, USA</t>
  </si>
  <si>
    <t xml:space="preserve">(619) 300-8558</t>
  </si>
  <si>
    <t xml:space="preserve">https://www.sundiegotileinstallations.com/</t>
  </si>
  <si>
    <t xml:space="preserve">5★ 13 reviews | small + well-liked | Score: 30</t>
  </si>
  <si>
    <t xml:space="preserve">Artisan Lash Pro</t>
  </si>
  <si>
    <t xml:space="preserve">4455 Twain Ave, San Diego, CA 92120, USA</t>
  </si>
  <si>
    <t xml:space="preserve">(760) 562-9214</t>
  </si>
  <si>
    <t xml:space="preserve">https://artisanlashpro.glossgenius.com/services</t>
  </si>
  <si>
    <t xml:space="preserve">Stellar Tile &amp; Marble</t>
  </si>
  <si>
    <t xml:space="preserve">3744 Swift Ave, San Diego, CA 92104, USA</t>
  </si>
  <si>
    <t xml:space="preserve">(920) 637-0333</t>
  </si>
  <si>
    <t xml:space="preserve">http://stellartileandmarble.com/</t>
  </si>
  <si>
    <t xml:space="preserve">5★ 12 reviews | small + well-liked | Score: 30</t>
  </si>
  <si>
    <t xml:space="preserve">Gold Fox Repair</t>
  </si>
  <si>
    <t xml:space="preserve">(619) 944-7741</t>
  </si>
  <si>
    <t xml:space="preserve">https://goldfoxrepair.com/</t>
  </si>
  <si>
    <t xml:space="preserve">T-Service</t>
  </si>
  <si>
    <t xml:space="preserve">6333 College Grove Way Apartment 11103, San Diego, CA 92115, USA</t>
  </si>
  <si>
    <t xml:space="preserve">(619) 404-8083</t>
  </si>
  <si>
    <t xml:space="preserve">https://t-service-sd.com/</t>
  </si>
  <si>
    <t xml:space="preserve">4.8★ 12 reviews | small + well-liked | Score: 30</t>
  </si>
  <si>
    <t xml:space="preserve">Happy Squeegee</t>
  </si>
  <si>
    <t xml:space="preserve">Carmenita Rd, La Mesa, CA 91941, USA</t>
  </si>
  <si>
    <t xml:space="preserve">(619) 495-0593</t>
  </si>
  <si>
    <t xml:space="preserve">http://happysqueegee.com/</t>
  </si>
  <si>
    <t xml:space="preserve">5★ 11 reviews | small + well-liked | Score: 30</t>
  </si>
  <si>
    <t xml:space="preserve">Lofty Lash Studio</t>
  </si>
  <si>
    <t xml:space="preserve">8148 La Mesa Blvd, La Mesa, CA 91942, USA</t>
  </si>
  <si>
    <t xml:space="preserve">(619) 820-8978</t>
  </si>
  <si>
    <t xml:space="preserve">http://www.loftylashstudio.com/</t>
  </si>
  <si>
    <t xml:space="preserve">The Yard L.L.C.</t>
  </si>
  <si>
    <t xml:space="preserve">7945 Broadway, Lemon Grove, CA 91945, USA</t>
  </si>
  <si>
    <t xml:space="preserve">(858) 901-6209</t>
  </si>
  <si>
    <t xml:space="preserve">https://www.theyardllcsd.com/application</t>
  </si>
  <si>
    <t xml:space="preserve">Workout With Kirk</t>
  </si>
  <si>
    <t xml:space="preserve">8803 1/2 La Mesa Blvd, La Mesa, CA 91942, USA</t>
  </si>
  <si>
    <t xml:space="preserve">(619) 851-6980</t>
  </si>
  <si>
    <t xml:space="preserve">http://workoutwithkirk.com/</t>
  </si>
  <si>
    <t xml:space="preserve">San Diego Emergency Plumbing Tite</t>
  </si>
  <si>
    <t xml:space="preserve">plumber</t>
  </si>
  <si>
    <t xml:space="preserve">4290 Polk Ave, San Diego, CA 92105, USA</t>
  </si>
  <si>
    <t xml:space="preserve">(858) 392-4028</t>
  </si>
  <si>
    <t xml:space="preserve">https://plumbtco.com/</t>
  </si>
  <si>
    <t xml:space="preserve">5★ 10 reviews | small + well-liked | Score: 30</t>
  </si>
  <si>
    <t xml:space="preserve">Dear Darling Photography</t>
  </si>
  <si>
    <t xml:space="preserve">6530 College Grove Dr UNIT 63, San Diego, CA 92115, USA</t>
  </si>
  <si>
    <t xml:space="preserve">http://www.deardarlingphotography.com/</t>
  </si>
  <si>
    <t xml:space="preserve">Mid City Auto Repair</t>
  </si>
  <si>
    <t xml:space="preserve">5625 El Cajon Blvd, San Diego, CA 92115, USA</t>
  </si>
  <si>
    <t xml:space="preserve">(619) 530-9885</t>
  </si>
  <si>
    <t xml:space="preserve">http://www.midcityautorepair.com/</t>
  </si>
  <si>
    <t xml:space="preserve">5★ 9 reviews | small + well-liked | Score: 30</t>
  </si>
  <si>
    <t xml:space="preserve">Custom Electric SD</t>
  </si>
  <si>
    <t xml:space="preserve">5041 54th St, San Diego, CA 92115, USA</t>
  </si>
  <si>
    <t xml:space="preserve">http://www.customelectricsd.com/</t>
  </si>
  <si>
    <t xml:space="preserve">Lashing Out Studio - La Mesa</t>
  </si>
  <si>
    <t xml:space="preserve">7373 University Ave Suite 205, La Mesa, CA 91942, USA</t>
  </si>
  <si>
    <t xml:space="preserve">(619) 500-7101</t>
  </si>
  <si>
    <t xml:space="preserve">https://lashing-out-studio-105803.square.site/</t>
  </si>
  <si>
    <t xml:space="preserve">ERB Handyman Service LLC</t>
  </si>
  <si>
    <t xml:space="preserve">handyman</t>
  </si>
  <si>
    <t xml:space="preserve">5560 Ruffin Rd # 1, San Diego, CA 92123, USA</t>
  </si>
  <si>
    <t xml:space="preserve">(619) 206-2873</t>
  </si>
  <si>
    <t xml:space="preserve">https://www.erbhandyman.com/</t>
  </si>
  <si>
    <t xml:space="preserve">5★ 8 reviews | small + well-liked | Score: 30</t>
  </si>
  <si>
    <t xml:space="preserve">Taylor Cutz Barbershop 2</t>
  </si>
  <si>
    <t xml:space="preserve">(619) 335-8197</t>
  </si>
  <si>
    <t xml:space="preserve">https://taylor-cutz-barbershop-sd.square.site/</t>
  </si>
  <si>
    <t xml:space="preserve">5★ 7 reviews | small + well-liked | Score: 30</t>
  </si>
  <si>
    <t xml:space="preserve">Barrios Landscape Inc</t>
  </si>
  <si>
    <t xml:space="preserve">5878 Vale Way, San Diego, CA 92115, USA</t>
  </si>
  <si>
    <t xml:space="preserve">(619) 888-1754</t>
  </si>
  <si>
    <t xml:space="preserve">https://barrioslandscape.com/</t>
  </si>
  <si>
    <t xml:space="preserve">5★ 6 reviews | small + well-liked | Score: 30</t>
  </si>
  <si>
    <t xml:space="preserve">JD Roofing Service</t>
  </si>
  <si>
    <t xml:space="preserve">3115 45th St, San Diego, CA 92105, USA</t>
  </si>
  <si>
    <t xml:space="preserve">(619) 918-5702</t>
  </si>
  <si>
    <t xml:space="preserve">http://www.jdroofingsd.com/</t>
  </si>
  <si>
    <t xml:space="preserve">5★ 5 reviews | small + well-liked | Score: 30</t>
  </si>
  <si>
    <t xml:space="preserve">San Diego HVAC Repair &amp; Install</t>
  </si>
  <si>
    <t xml:space="preserve">3829 University Ave, San Diego, CA 92105, USA</t>
  </si>
  <si>
    <t xml:space="preserve">(858) 392-4147</t>
  </si>
  <si>
    <t xml:space="preserve">https://sandiegohvacrepairinstall.com/</t>
  </si>
  <si>
    <t xml:space="preserve">Precision Garage Door Service</t>
  </si>
  <si>
    <t xml:space="preserve">7339 El Cajon Blvd Suite L, La Mesa, CA 91942, USA</t>
  </si>
  <si>
    <t xml:space="preserve">(619) 324-9835</t>
  </si>
  <si>
    <t xml:space="preserve">https://mydoorteam.com/locations/california/la-mesa/?utm_source=gmb&amp;utm_medium=location_la-mesa&amp;utm_campaign=website</t>
  </si>
  <si>
    <t xml:space="preserve">Sitting Pretty Nails</t>
  </si>
  <si>
    <t xml:space="preserve">6602 El Cajon Blvd, San Diego, CA 92115, USA</t>
  </si>
  <si>
    <t xml:space="preserve">(619) 622-9944</t>
  </si>
  <si>
    <t xml:space="preserve">https://busiussa.org/details/sitting-pretty-nails-ChIJ09w</t>
  </si>
  <si>
    <t xml:space="preserve">Full Access Garage Door's Service</t>
  </si>
  <si>
    <t xml:space="preserve">4035 Redwood St, San Diego, CA 92105, USA</t>
  </si>
  <si>
    <t xml:space="preserve">(619) 626-2938</t>
  </si>
  <si>
    <t xml:space="preserve">https://fullaccessgaragedoorsservice.site/</t>
  </si>
  <si>
    <t xml:space="preserve">5★ 4 reviews | small + well-liked | Score: 30</t>
  </si>
  <si>
    <t xml:space="preserve">Greatest HVAC Repair San Diego</t>
  </si>
  <si>
    <t xml:space="preserve">5328 Rex Ave, San Diego, CA 92105, USA</t>
  </si>
  <si>
    <t xml:space="preserve">(858) 392-4285</t>
  </si>
  <si>
    <t xml:space="preserve">http://greatesthvacrepairsandiego.com/</t>
  </si>
  <si>
    <t xml:space="preserve">5★ 2 reviews | small + well-liked | Score: 30</t>
  </si>
  <si>
    <t xml:space="preserve">Awesome HVAC Repair San Diego</t>
  </si>
  <si>
    <t xml:space="preserve">1572 Ninth Ave, San Diego, CA 92101, USA</t>
  </si>
  <si>
    <t xml:space="preserve">(858) 392-4284</t>
  </si>
  <si>
    <t xml:space="preserve">http://awesomehvacrepairsandiego.com/</t>
  </si>
  <si>
    <t xml:space="preserve">Reliable San Diego Roofer</t>
  </si>
  <si>
    <t xml:space="preserve">3335-41 Adams Ave, San Diego, CA 92116, USA</t>
  </si>
  <si>
    <t xml:space="preserve">(858) 392-4008</t>
  </si>
  <si>
    <t xml:space="preserve">http://reliablesandiegoroofer.com/</t>
  </si>
  <si>
    <t xml:space="preserve">5★ 1 reviews | small + well-liked | Score: 30</t>
  </si>
  <si>
    <t xml:space="preserve">Five Star Pest Control San Diego</t>
  </si>
  <si>
    <t xml:space="preserve">6153 El Cajon Blvd, San Diego, CA 92115, USA</t>
  </si>
  <si>
    <t xml:space="preserve">(858) 392-4096</t>
  </si>
  <si>
    <t xml:space="preserve">http://fivestarpestcontrolsandiego.com/</t>
  </si>
  <si>
    <t xml:space="preserve">Pro Pest Control San Diego</t>
  </si>
  <si>
    <t xml:space="preserve">5165 Waring Rd, San Diego, CA 92120, USA</t>
  </si>
  <si>
    <t xml:space="preserve">(858) 392-4101</t>
  </si>
  <si>
    <t xml:space="preserve">http://propestcontrolsandiego.com/</t>
  </si>
  <si>
    <t xml:space="preserve">Topline Pest Control San Diego</t>
  </si>
  <si>
    <t xml:space="preserve">6975-77 Navajo Rd, San Diego, CA 92119, USA</t>
  </si>
  <si>
    <t xml:space="preserve">(858) 392-4099</t>
  </si>
  <si>
    <t xml:space="preserve">http://toplinepestcontrolsandiego.com/</t>
  </si>
  <si>
    <t xml:space="preserve">Superior Pest Control San Diego</t>
  </si>
  <si>
    <t xml:space="preserve">1490 S 43rd St, San Diego, CA 92113, USA</t>
  </si>
  <si>
    <t xml:space="preserve">(858) 392-4091</t>
  </si>
  <si>
    <t xml:space="preserve">http://superiorpestcontrolsandiego.com/</t>
  </si>
  <si>
    <t xml:space="preserve">San Diego Power Clean, Inc.</t>
  </si>
  <si>
    <t xml:space="preserve">6495 Alvarado Rd, San Diego, CA 92120, USA</t>
  </si>
  <si>
    <t xml:space="preserve">(619) 460-8177</t>
  </si>
  <si>
    <t xml:space="preserve">http://www.sandiegopowerclean.com/</t>
  </si>
  <si>
    <t xml:space="preserve">Tile Illusions &amp; stone</t>
  </si>
  <si>
    <t xml:space="preserve">7051 Central Ave, Lemon Grove, CA 91945, USA</t>
  </si>
  <si>
    <t xml:space="preserve">(619) 325-9226</t>
  </si>
  <si>
    <t xml:space="preserve">https://tileillusionstoneinc.com/</t>
  </si>
  <si>
    <t xml:space="preserve">Dan Diaz Tile</t>
  </si>
  <si>
    <t xml:space="preserve">6461 Crawford St, San Diego, CA 92120, USA</t>
  </si>
  <si>
    <t xml:space="preserve">(619) 286-6575</t>
  </si>
  <si>
    <t xml:space="preserve">https://dandiaztile.com/</t>
  </si>
  <si>
    <t xml:space="preserve">Perfect Care Pool Service</t>
  </si>
  <si>
    <t xml:space="preserve">5011 Chollas Pkwy, San Diego, CA 92105, USA</t>
  </si>
  <si>
    <t xml:space="preserve">(619) 606-4834</t>
  </si>
  <si>
    <t xml:space="preserve">http://www.perfectcarepools.com/</t>
  </si>
  <si>
    <t xml:space="preserve">Appliance Repair</t>
  </si>
  <si>
    <t xml:space="preserve">(619) 485-6484</t>
  </si>
  <si>
    <t xml:space="preserve">https://www.appliancerepairsd.com/location/la-mesa/</t>
  </si>
  <si>
    <t xml:space="preserve">Moland Electricians</t>
  </si>
  <si>
    <t xml:space="preserve">4086 Marlborough Ave, San Diego, CA 92105, USA</t>
  </si>
  <si>
    <t xml:space="preserve">(619) 374-8365</t>
  </si>
  <si>
    <t xml:space="preserve">https://molandelectricians.store/</t>
  </si>
  <si>
    <t xml:space="preserve">In &amp; Out Tire Shop</t>
  </si>
  <si>
    <t xml:space="preserve">6211 University Ave, San Diego, CA 92115, USA</t>
  </si>
  <si>
    <t xml:space="preserve">(619) 516-1099</t>
  </si>
  <si>
    <t xml:space="preserve">NO SITE — https://www.google.com/maps/place/?q=place_id:ChIJ3RZRVblW2YAREwn_j6w36jc</t>
  </si>
  <si>
    <t xml:space="preserve">NO WEBSITE (hot lead) | 3.9★ 205 reviews | established - may have marketing already | Score: 20</t>
  </si>
  <si>
    <t xml:space="preserve">Urban Cutz</t>
  </si>
  <si>
    <t xml:space="preserve">6781 El Cajon Blvd, San Diego, CA 92115, USA</t>
  </si>
  <si>
    <t xml:space="preserve">(619) 467-7117</t>
  </si>
  <si>
    <t xml:space="preserve">NO SITE — https://www.google.com/maps/place/?q=place_id:ChIJEyWwTuxW2YARRYWfgRox-00</t>
  </si>
  <si>
    <t xml:space="preserve">NO WEBSITE (hot lead) | 4.2★ 161 reviews | established - may have marketing already | Score: 20</t>
  </si>
  <si>
    <t xml:space="preserve">US CLEANERS AND EMBROIDERY</t>
  </si>
  <si>
    <t xml:space="preserve">3605 College Ave, San Diego, CA 92115, USA</t>
  </si>
  <si>
    <t xml:space="preserve">(619) 287-5968</t>
  </si>
  <si>
    <t xml:space="preserve">http://uscleanerssd.com/</t>
  </si>
  <si>
    <t xml:space="preserve">4.1★ 59 reviews | Score: 20</t>
  </si>
  <si>
    <t xml:space="preserve">Greater San Diego Air Conditioning Inc</t>
  </si>
  <si>
    <t xml:space="preserve">3883 Ruffin Rd, San Diego, CA 92123, USA</t>
  </si>
  <si>
    <t xml:space="preserve">(619) 469-7818</t>
  </si>
  <si>
    <t xml:space="preserve">https://www.gsdac.com/</t>
  </si>
  <si>
    <t xml:space="preserve">3.8★ 27 reviews | Score: 20</t>
  </si>
  <si>
    <t xml:space="preserve">KeyMe Locksmiths</t>
  </si>
  <si>
    <t xml:space="preserve">3603 College Ave, San Diego, CA 92115, USA</t>
  </si>
  <si>
    <t xml:space="preserve">(619) 789-5526</t>
  </si>
  <si>
    <t xml:space="preserve">https://key.me/kiosks/california/san-diego/san-diego/locksmith-key-copy-san-diego-7-eleven-92115-california</t>
  </si>
  <si>
    <t xml:space="preserve">3.7★ 9 reviews | Score: 20</t>
  </si>
  <si>
    <t xml:space="preserve">Alpha Roofer San Diego</t>
  </si>
  <si>
    <t xml:space="preserve">4739 63rd St, San Diego, CA 92115, USA</t>
  </si>
  <si>
    <t xml:space="preserve">(858) 392-4007</t>
  </si>
  <si>
    <t xml:space="preserve">http://alpharoofersandiego.com/</t>
  </si>
  <si>
    <t xml:space="preserve">3.7★ 3 reviews | Score: 20</t>
  </si>
  <si>
    <t xml:space="preserve">Pappy's Premier Barber and Shop</t>
  </si>
  <si>
    <t xml:space="preserve">6547 El Cajon Blvd, San Diego, CA 92115, USA</t>
  </si>
  <si>
    <t xml:space="preserve">(619) 230-5351</t>
  </si>
  <si>
    <t xml:space="preserve">http://www.pappysbarbershop.com/</t>
  </si>
  <si>
    <t xml:space="preserve">5★ 150 reviews | established - may have marketing already | Score: 10</t>
  </si>
  <si>
    <t xml:space="preserve">Beauty By Hannah Lebron</t>
  </si>
  <si>
    <t xml:space="preserve">7428 University Ave, La Mesa, CA 91942, USA</t>
  </si>
  <si>
    <t xml:space="preserve">(619) 208-3212</t>
  </si>
  <si>
    <t xml:space="preserve">http://www.hannahlebron.com/</t>
  </si>
  <si>
    <t xml:space="preserve">4.9★ 149 reviews | established - may have marketing already | Score: 10</t>
  </si>
  <si>
    <t xml:space="preserve">Ron Rice Painting &amp; Consulting</t>
  </si>
  <si>
    <t xml:space="preserve">2667 Camino del Rio S Suite 204-1, San Diego, CA 92108, USA</t>
  </si>
  <si>
    <t xml:space="preserve">(619) 208-4482</t>
  </si>
  <si>
    <t xml:space="preserve">https://ronricepainting.com/</t>
  </si>
  <si>
    <t xml:space="preserve">4.9★ 147 reviews | established - may have marketing already | Score: 10</t>
  </si>
  <si>
    <t xml:space="preserve">Packman Moving LLC</t>
  </si>
  <si>
    <t xml:space="preserve">3025 1/2 J St, San Diego, CA 92102, USA</t>
  </si>
  <si>
    <t xml:space="preserve">(619) 961-9960</t>
  </si>
  <si>
    <t xml:space="preserve">http://www.packman-moving.com/</t>
  </si>
  <si>
    <t xml:space="preserve">5★ 146 reviews | established - may have marketing already | Score: 10</t>
  </si>
  <si>
    <t xml:space="preserve">Hamel's Air Conditioning &amp; Heating Inc</t>
  </si>
  <si>
    <t xml:space="preserve">9890 Shadow Rd, La Mesa, CA 91941, USA</t>
  </si>
  <si>
    <t xml:space="preserve">(619) 456-1488</t>
  </si>
  <si>
    <t xml:space="preserve">http://comfortbros.com/</t>
  </si>
  <si>
    <t xml:space="preserve">4.9★ 143 reviews | established - may have marketing already | Score: 10</t>
  </si>
  <si>
    <t xml:space="preserve">Dust To Shine Pro Clean</t>
  </si>
  <si>
    <t xml:space="preserve">7629 Normal Ave, La Mesa, CA 91941, USA</t>
  </si>
  <si>
    <t xml:space="preserve">(619) 315-4218</t>
  </si>
  <si>
    <t xml:space="preserve">http://d2scleaning.com/</t>
  </si>
  <si>
    <t xml:space="preserve">5★ 139 reviews | established - may have marketing already | Score: 10</t>
  </si>
  <si>
    <t xml:space="preserve">Swim Care Pool Services - San Diego Leak Detection Specialists</t>
  </si>
  <si>
    <t xml:space="preserve">4203 Genesee Ave #103-446, San Diego, CA 92117, USA</t>
  </si>
  <si>
    <t xml:space="preserve">(858) 295-0443</t>
  </si>
  <si>
    <t xml:space="preserve">https://sandiegopoolservice.net/?utm_campaign=gmb&amp;utm_source=gmb</t>
  </si>
  <si>
    <t xml:space="preserve">4.8★ 137 reviews | established - may have marketing already | Score: 10</t>
  </si>
  <si>
    <t xml:space="preserve">American Pest Control</t>
  </si>
  <si>
    <t xml:space="preserve">8100 Broadway STE E, Lemon Grove, CA 91945, USA</t>
  </si>
  <si>
    <t xml:space="preserve">(619) 272-6889</t>
  </si>
  <si>
    <t xml:space="preserve">https://www.americanpestcontrolinc.com/</t>
  </si>
  <si>
    <t xml:space="preserve">4.8★ 133 reviews | established - may have marketing already | Score: 10</t>
  </si>
  <si>
    <t xml:space="preserve">Big Mitch Barber Studio</t>
  </si>
  <si>
    <t xml:space="preserve">6602 El Cajon Blvd Suite A104, San Diego, CA 92115, USA</t>
  </si>
  <si>
    <t xml:space="preserve">(619) 534-1432</t>
  </si>
  <si>
    <t xml:space="preserve">http://www.bigmitchbarberstudio.com/</t>
  </si>
  <si>
    <t xml:space="preserve">4.8★ 131 reviews | established - may have marketing already | Score: 10</t>
  </si>
  <si>
    <t xml:space="preserve">Renegade</t>
  </si>
  <si>
    <t xml:space="preserve">6375 El Cajon Blvd A, San Diego, CA 92115, USA</t>
  </si>
  <si>
    <t xml:space="preserve">(619) 677-1861</t>
  </si>
  <si>
    <t xml:space="preserve">https://renegadefit.com/college-area/</t>
  </si>
  <si>
    <t xml:space="preserve">4.9★ 130 reviews | established - may have marketing already | Score: 10</t>
  </si>
  <si>
    <t xml:space="preserve">Khoa Photography</t>
  </si>
  <si>
    <t xml:space="preserve">2881 Brosnan St, San Diego, CA 92111, USA</t>
  </si>
  <si>
    <t xml:space="preserve">(858) 519-4588</t>
  </si>
  <si>
    <t xml:space="preserve">http://www.khoakhoa.com/</t>
  </si>
  <si>
    <t xml:space="preserve">5★ 129 reviews | established - may have marketing already | Score: 10</t>
  </si>
  <si>
    <t xml:space="preserve">The Cutt'n Edge</t>
  </si>
  <si>
    <t xml:space="preserve">6485 El Cajon Blvd, San Diego, CA 92115, USA</t>
  </si>
  <si>
    <t xml:space="preserve">(619) 354-3083</t>
  </si>
  <si>
    <t xml:space="preserve">http://thecuttnedgesd.com/</t>
  </si>
  <si>
    <t xml:space="preserve">4.6★ 125 reviews | established - may have marketing already | Score: 10</t>
  </si>
  <si>
    <t xml:space="preserve">619 Roofing</t>
  </si>
  <si>
    <t xml:space="preserve">3930 Oregon St Suite 254, San Diego, CA 92104, USA</t>
  </si>
  <si>
    <t xml:space="preserve">(619) 609-0214</t>
  </si>
  <si>
    <t xml:space="preserve">https://619roofing.com/</t>
  </si>
  <si>
    <t xml:space="preserve">4.8★ 123 reviews | established - may have marketing already | Score: 10</t>
  </si>
  <si>
    <t xml:space="preserve">Nan's Tires &amp; Wheels</t>
  </si>
  <si>
    <t xml:space="preserve">4884 University Ave, San Diego, CA 92105, USA</t>
  </si>
  <si>
    <t xml:space="preserve">(619) 350-8568</t>
  </si>
  <si>
    <t xml:space="preserve">https://www.nanstires.com/</t>
  </si>
  <si>
    <t xml:space="preserve">4.4★ 122 reviews | established - may have marketing already | Score: 10</t>
  </si>
  <si>
    <t xml:space="preserve">TN Auto Repair</t>
  </si>
  <si>
    <t xml:space="preserve">6517 El Cajon Blvd, San Diego, CA 92115, USA</t>
  </si>
  <si>
    <t xml:space="preserve">(619) 232-5505</t>
  </si>
  <si>
    <t xml:space="preserve">https://tna.autos/</t>
  </si>
  <si>
    <t xml:space="preserve">4.7★ 119 reviews | established - may have marketing already | Score: 10</t>
  </si>
  <si>
    <t xml:space="preserve">Best Bet Movers</t>
  </si>
  <si>
    <t xml:space="preserve">2555 44th St, San Diego, CA 92105, USA</t>
  </si>
  <si>
    <t xml:space="preserve">(619) 837-2943</t>
  </si>
  <si>
    <t xml:space="preserve">https://bestbetmovers.com/</t>
  </si>
  <si>
    <t xml:space="preserve">4.5★ 117 reviews | established - may have marketing already | Score: 10</t>
  </si>
  <si>
    <t xml:space="preserve">Allman Family Auto</t>
  </si>
  <si>
    <t xml:space="preserve">7066 El Cajon Blvd, San Diego, CA 92115, USA</t>
  </si>
  <si>
    <t xml:space="preserve">(619) 465-8686</t>
  </si>
  <si>
    <t xml:space="preserve">http://www.allmanfamilyauto.com/</t>
  </si>
  <si>
    <t xml:space="preserve">4.9★ 115 reviews | established - may have marketing already | Score: 10</t>
  </si>
  <si>
    <t xml:space="preserve">Life-Long Appliance Repair</t>
  </si>
  <si>
    <t xml:space="preserve">5310 Reservoir Dr, San Diego, CA 92115, USA</t>
  </si>
  <si>
    <t xml:space="preserve">(619) 724-9780</t>
  </si>
  <si>
    <t xml:space="preserve">https://www.lifelongappliance.com/</t>
  </si>
  <si>
    <t xml:space="preserve">Landform Fitness</t>
  </si>
  <si>
    <t xml:space="preserve">6663 El Cajon Blvd, San Diego, CA 92115, USA</t>
  </si>
  <si>
    <t xml:space="preserve">(619) 273-3277</t>
  </si>
  <si>
    <t xml:space="preserve">https://www.landformfitness.com/</t>
  </si>
  <si>
    <t xml:space="preserve">Flat Bid Moving | Moving Company San Diego</t>
  </si>
  <si>
    <t xml:space="preserve">8979 Complex Dr, San Diego, CA 92123, USA</t>
  </si>
  <si>
    <t xml:space="preserve">(619) 324-0910</t>
  </si>
  <si>
    <t xml:space="preserve">https://flatbidmoving.com/?utm_source=google&amp;utm_medium=organic&amp;utm_campaign=SanDiegoGBP</t>
  </si>
  <si>
    <t xml:space="preserve">5★ 114 reviews | established - may have marketing already | Score: 10</t>
  </si>
  <si>
    <t xml:space="preserve">Golden State Pools</t>
  </si>
  <si>
    <t xml:space="preserve">1286 University Ave, San Diego, CA 92103, USA</t>
  </si>
  <si>
    <t xml:space="preserve">(858) 434-7536</t>
  </si>
  <si>
    <t xml:space="preserve">http://www.gsppoolservice.com/?utm_source=GMB&amp;utm_medium=local</t>
  </si>
  <si>
    <t xml:space="preserve">4.9★ 113 reviews | established - may have marketing already | Score: 10</t>
  </si>
  <si>
    <t xml:space="preserve">Bulman Painting</t>
  </si>
  <si>
    <t xml:space="preserve">4414 Long Branch Ave, San Diego, CA 92107, USA</t>
  </si>
  <si>
    <t xml:space="preserve">(619) 565-7704</t>
  </si>
  <si>
    <t xml:space="preserve">http://www.bulmanpaintingpros.com/</t>
  </si>
  <si>
    <t xml:space="preserve">5★ 112 reviews | established - may have marketing already | Score: 10</t>
  </si>
  <si>
    <t xml:space="preserve">Crossfaded Hair Studio</t>
  </si>
  <si>
    <t xml:space="preserve">6353 El Cajon Blvd, San Diego, CA 92115, USA</t>
  </si>
  <si>
    <t xml:space="preserve">(619) 609-9067</t>
  </si>
  <si>
    <t xml:space="preserve">http://www.crossfadedhairstudio.com/</t>
  </si>
  <si>
    <t xml:space="preserve">5★ 111 reviews | established - may have marketing already | Score: 10</t>
  </si>
  <si>
    <t xml:space="preserve">Taxlana</t>
  </si>
  <si>
    <t xml:space="preserve">4950 Waring Rd STE 8, San Diego, CA 92120, USA</t>
  </si>
  <si>
    <t xml:space="preserve">(619) 602-0697</t>
  </si>
  <si>
    <t xml:space="preserve">http://www.taxlana.com/</t>
  </si>
  <si>
    <t xml:space="preserve">4.8★ 110 reviews | established - may have marketing already | Score: 10</t>
  </si>
  <si>
    <t xml:space="preserve">SmartFix Appliances</t>
  </si>
  <si>
    <t xml:space="preserve">6820 Hyde Park Dr, San Diego, CA 92119, USA</t>
  </si>
  <si>
    <t xml:space="preserve">(619) 666-1372</t>
  </si>
  <si>
    <t xml:space="preserve">http://smartfxappliance.com/</t>
  </si>
  <si>
    <t xml:space="preserve">4.8★ 107 reviews | established - may have marketing already | Score: 10</t>
  </si>
  <si>
    <t xml:space="preserve">Werk Fitness Personal Training - La Mesa</t>
  </si>
  <si>
    <t xml:space="preserve">8380 Center Dr C, La Mesa, CA 91942, USA</t>
  </si>
  <si>
    <t xml:space="preserve">(619) 279-3345</t>
  </si>
  <si>
    <t xml:space="preserve">https://www.werkfitness.com/best-personal-trainers-la-mesa</t>
  </si>
  <si>
    <t xml:space="preserve">4.9★ 107 reviews | established - may have marketing already | Score: 10</t>
  </si>
  <si>
    <t xml:space="preserve">Finch Moving And Storage La Mesa</t>
  </si>
  <si>
    <t xml:space="preserve">7317 El Cajon Blvd ste 201F, La Mesa, CA 91942, USA</t>
  </si>
  <si>
    <t xml:space="preserve">(619) 880-8354</t>
  </si>
  <si>
    <t xml:space="preserve">https://finchmovingservices.com/california/la_mesa_movers_moving_companies/</t>
  </si>
  <si>
    <t xml:space="preserve">4.9★ 105 reviews | established - may have marketing already | Score: 10</t>
  </si>
  <si>
    <t xml:space="preserve">Blue Volt Electric</t>
  </si>
  <si>
    <t xml:space="preserve">9655-200 Granite Ridge Dr, San Diego, CA 92123, USA</t>
  </si>
  <si>
    <t xml:space="preserve">(619) 614-8795</t>
  </si>
  <si>
    <t xml:space="preserve">https://bluevoltelectric-sd.com/?utm_source=google&amp;utm_medium=organic&amp;utm_campaign=gmb</t>
  </si>
  <si>
    <t xml:space="preserve">Movers Best San Diego – Local &amp; Long Distance Movers</t>
  </si>
  <si>
    <t xml:space="preserve">2667 Camino del Rio S #301-1, San Diego, CA 92108, USA</t>
  </si>
  <si>
    <t xml:space="preserve">(844) 880-5058</t>
  </si>
  <si>
    <t xml:space="preserve">https://movers.best/?utm_campaign=gmb</t>
  </si>
  <si>
    <t xml:space="preserve">5★ 104 reviews | established - may have marketing already | Score: 10</t>
  </si>
  <si>
    <t xml:space="preserve">Carefree Auto Repair</t>
  </si>
  <si>
    <t xml:space="preserve">6556 EL CAJON BLVDSAN DIEGO, San Diego, CA 92115, USA</t>
  </si>
  <si>
    <t xml:space="preserve">(619) 287-6840</t>
  </si>
  <si>
    <t xml:space="preserve">https://carefree-autorepair.com/</t>
  </si>
  <si>
    <t xml:space="preserve">4.7★ 104 reviews | established - may have marketing already | Score: 10</t>
  </si>
  <si>
    <t xml:space="preserve">Priority Pool Service</t>
  </si>
  <si>
    <t xml:space="preserve">1940 Garnet Ave STE 370, San Diego, CA 92109, USA</t>
  </si>
  <si>
    <t xml:space="preserve">(619) 391-0344</t>
  </si>
  <si>
    <t xml:space="preserve">https://dive.prioritypools.com/gbppb</t>
  </si>
  <si>
    <t xml:space="preserve">4.9★ 103 reviews | established - may have marketing already | Score: 10</t>
  </si>
  <si>
    <t xml:space="preserve">SpeedMates Home Services</t>
  </si>
  <si>
    <t xml:space="preserve">8638 Lake Ashmere Dr #59, San Diego, CA 92119, USA</t>
  </si>
  <si>
    <t xml:space="preserve">(619) 365-5619</t>
  </si>
  <si>
    <t xml:space="preserve">https://speedmates.com/locations/california/san-diego/</t>
  </si>
  <si>
    <t xml:space="preserve">4.7★ 103 reviews | established - may have marketing already | Score: 10</t>
  </si>
  <si>
    <t xml:space="preserve">McKinney's Pool Service</t>
  </si>
  <si>
    <t xml:space="preserve">8157 Commercial St, La Mesa, CA 91942, USA</t>
  </si>
  <si>
    <t xml:space="preserve">(619) 813-7417</t>
  </si>
  <si>
    <t xml:space="preserve">https://www.mckinneyspool.com/</t>
  </si>
  <si>
    <t xml:space="preserve">4.9★ 102 reviews | established - may have marketing already | Score: 10</t>
  </si>
  <si>
    <t xml:space="preserve">ESCOBAR TREE SERVICE &amp; STUMP GRINDER</t>
  </si>
  <si>
    <t xml:space="preserve">tree service</t>
  </si>
  <si>
    <t xml:space="preserve">3596 Chamoune Ave, San Diego, CA 92105, USA</t>
  </si>
  <si>
    <t xml:space="preserve">(619) 771-8418</t>
  </si>
  <si>
    <t xml:space="preserve">https://escobartreeservicestumpgrinder.com/</t>
  </si>
  <si>
    <t xml:space="preserve">5★ 100 reviews | Score: 10</t>
  </si>
  <si>
    <t xml:space="preserve">ProTouch Pool Services</t>
  </si>
  <si>
    <t xml:space="preserve">7933 Silverton Ave #703, San Diego, CA 92126, USA</t>
  </si>
  <si>
    <t xml:space="preserve">(858) 610-2635</t>
  </si>
  <si>
    <t xml:space="preserve">https://protouchpoolservices.com/</t>
  </si>
  <si>
    <t xml:space="preserve">4.8★ 100 reviews | Score: 10</t>
  </si>
  <si>
    <t xml:space="preserve">Star Flooring &amp; Remodeling</t>
  </si>
  <si>
    <t xml:space="preserve">4610 Alvarado Canyon Rd Suite 1, San Diego, CA 92120, USA</t>
  </si>
  <si>
    <t xml:space="preserve">(619) 282-4000</t>
  </si>
  <si>
    <t xml:space="preserve">https://starflooringandremodeling.com/</t>
  </si>
  <si>
    <t xml:space="preserve">4.6★ 96 reviews | Score: 10</t>
  </si>
  <si>
    <t xml:space="preserve">San Diego Handyman | Express Services</t>
  </si>
  <si>
    <t xml:space="preserve">4881 Rolando Ct #79, San Diego, CA 92115, USA</t>
  </si>
  <si>
    <t xml:space="preserve">(619) 456-0009</t>
  </si>
  <si>
    <t xml:space="preserve">http://www.sdpro-handyman.com/</t>
  </si>
  <si>
    <t xml:space="preserve">4.7★ 95 reviews | Score: 10</t>
  </si>
  <si>
    <t xml:space="preserve">Suncoast Pest Management</t>
  </si>
  <si>
    <t xml:space="preserve">7317 El Cajon Blvd #202C, La Mesa, CA 91942, USA</t>
  </si>
  <si>
    <t xml:space="preserve">(619) 486-6327</t>
  </si>
  <si>
    <t xml:space="preserve">https://www.suncoastpestmanagement.com/</t>
  </si>
  <si>
    <t xml:space="preserve">5★ 95 reviews | Score: 10</t>
  </si>
  <si>
    <t xml:space="preserve">N F Carpet Care</t>
  </si>
  <si>
    <t xml:space="preserve">2632 69th St, Lemon Grove, CA 91945, USA</t>
  </si>
  <si>
    <t xml:space="preserve">(619) 286-6530</t>
  </si>
  <si>
    <t xml:space="preserve">http://nfcarpetcare.com/</t>
  </si>
  <si>
    <t xml:space="preserve">Ageless Strength &amp; Fitness</t>
  </si>
  <si>
    <t xml:space="preserve">(626) 864-2690</t>
  </si>
  <si>
    <t xml:space="preserve">https://agelessstrength.net/</t>
  </si>
  <si>
    <t xml:space="preserve">Squeegee Window Cleaning</t>
  </si>
  <si>
    <t xml:space="preserve">6161 El Cajon Blvd #424, San Diego, CA 92115, USA</t>
  </si>
  <si>
    <t xml:space="preserve">https://www.squeegeewindowcleaningsd.com/</t>
  </si>
  <si>
    <t xml:space="preserve">5★ 93 reviews | Score: 10</t>
  </si>
  <si>
    <t xml:space="preserve">San Diego Tree Service Contractor</t>
  </si>
  <si>
    <t xml:space="preserve">3445 42nd St, San Diego, CA 92105, USA</t>
  </si>
  <si>
    <t xml:space="preserve">(619) 944-3254</t>
  </si>
  <si>
    <t xml:space="preserve">https://www.treeservicecontractor.com/</t>
  </si>
  <si>
    <t xml:space="preserve">GL Pools</t>
  </si>
  <si>
    <t xml:space="preserve">10769 Woodside Ave #204, Santee, CA 92071, USA</t>
  </si>
  <si>
    <t xml:space="preserve">(619) 391-3258</t>
  </si>
  <si>
    <t xml:space="preserve">https://glpools.com/santee-pool-service/?utm_source=google&amp;utm_medium=organic&amp;utm_campaign=gmb-santee-location</t>
  </si>
  <si>
    <t xml:space="preserve">4.8★ 90 reviews | Score: 10</t>
  </si>
  <si>
    <t xml:space="preserve">ABM Wedding Photography</t>
  </si>
  <si>
    <t xml:space="preserve">3421 Tripp Ct STE 2, San Diego, CA 92121, USA</t>
  </si>
  <si>
    <t xml:space="preserve">(949) 463-3038</t>
  </si>
  <si>
    <t xml:space="preserve">https://www.abmweddingphotos.com/</t>
  </si>
  <si>
    <t xml:space="preserve">5★ 90 reviews | Score: 10</t>
  </si>
  <si>
    <t xml:space="preserve">Local San Diego Painting</t>
  </si>
  <si>
    <t xml:space="preserve">5814 College Ave, San Diego, CA 92120, USA</t>
  </si>
  <si>
    <t xml:space="preserve">(619) 288-0656</t>
  </si>
  <si>
    <t xml:space="preserve">https://localsandiegopainting.com/</t>
  </si>
  <si>
    <t xml:space="preserve">4.9★ 89 reviews | Score: 10</t>
  </si>
  <si>
    <t xml:space="preserve">Matthew Jenkins Handyman</t>
  </si>
  <si>
    <t xml:space="preserve">4151 Lois St, La Mesa, CA 91941, USA</t>
  </si>
  <si>
    <t xml:space="preserve">(484) 716-4727</t>
  </si>
  <si>
    <t xml:space="preserve">http://matthewjenkinshandyman.com/</t>
  </si>
  <si>
    <t xml:space="preserve">4.9★ 88 reviews | Score: 10</t>
  </si>
  <si>
    <t xml:space="preserve">Accountable Carpet, Tile, and Upholstery Cleaning</t>
  </si>
  <si>
    <t xml:space="preserve">7230 Grable St, La Mesa, CA 91942, USA</t>
  </si>
  <si>
    <t xml:space="preserve">(619) 760-5238</t>
  </si>
  <si>
    <t xml:space="preserve">http://www.accountablecarpetclean.com/</t>
  </si>
  <si>
    <t xml:space="preserve">4.9★ 85 reviews | Score: 10</t>
  </si>
  <si>
    <t xml:space="preserve">4827 Loukelton Way, San Diego, CA 92120, USA</t>
  </si>
  <si>
    <t xml:space="preserve">https://suncoastpestmanagement.com/</t>
  </si>
  <si>
    <t xml:space="preserve">5★ 84 reviews | Score: 10</t>
  </si>
  <si>
    <t xml:space="preserve">LASH LIFT &amp; BEAUTY CO</t>
  </si>
  <si>
    <t xml:space="preserve">2301 El Cajon Blvd, San Diego, CA 92104, USA</t>
  </si>
  <si>
    <t xml:space="preserve">(619) 886-6454</t>
  </si>
  <si>
    <t xml:space="preserve">http://www.beautybylauralashlift.com/</t>
  </si>
  <si>
    <t xml:space="preserve">5★ 83 reviews | Score: 10</t>
  </si>
  <si>
    <t xml:space="preserve">Payan Pool Service</t>
  </si>
  <si>
    <t xml:space="preserve">10054 Prospect Ave # B, Santee, CA 92071, USA</t>
  </si>
  <si>
    <t xml:space="preserve">(619) 304-2232</t>
  </si>
  <si>
    <t xml:space="preserve">http://www.payanpools.com/</t>
  </si>
  <si>
    <t xml:space="preserve">4.6★ 82 reviews | Score: 10</t>
  </si>
  <si>
    <t xml:space="preserve">VH Tire Shop</t>
  </si>
  <si>
    <t xml:space="preserve">6620 El Cajon Blvd, San Diego, CA 92115, USA</t>
  </si>
  <si>
    <t xml:space="preserve">(619) 719-9440</t>
  </si>
  <si>
    <t xml:space="preserve">https://sandiegousedtires.com/</t>
  </si>
  <si>
    <t xml:space="preserve">5★ 82 reviews | Score: 10</t>
  </si>
  <si>
    <t xml:space="preserve">Coach B's</t>
  </si>
  <si>
    <t xml:space="preserve">2527 University Ave, San Diego, CA 92104, USA</t>
  </si>
  <si>
    <t xml:space="preserve">(619) 209-8206</t>
  </si>
  <si>
    <t xml:space="preserve">https://www.coachbsd.com/</t>
  </si>
  <si>
    <t xml:space="preserve">Point Break Electric</t>
  </si>
  <si>
    <t xml:space="preserve">1020 Leland St, Spring Valley, CA 91977, USA</t>
  </si>
  <si>
    <t xml:space="preserve">(619) 454-0605</t>
  </si>
  <si>
    <t xml:space="preserve">https://pointbreakelectricsd.com/</t>
  </si>
  <si>
    <t xml:space="preserve">5★ 80 reviews | Score: 10</t>
  </si>
  <si>
    <t xml:space="preserve">little lash shop</t>
  </si>
  <si>
    <t xml:space="preserve">8356 Allison Ave # D, La Mesa, CA 91942, USA</t>
  </si>
  <si>
    <t xml:space="preserve">(619) 567-0606</t>
  </si>
  <si>
    <t xml:space="preserve">http://littlelashshopsd.com/</t>
  </si>
  <si>
    <t xml:space="preserve">Madeline Barr Photography</t>
  </si>
  <si>
    <t xml:space="preserve">San Diego Fwy, San Diego, CA 92116, USA</t>
  </si>
  <si>
    <t xml:space="preserve">https://www.madelinebarr.com/</t>
  </si>
  <si>
    <t xml:space="preserve">5★ 79 reviews | Score: 10</t>
  </si>
  <si>
    <t xml:space="preserve">Leaf Wedding Photography</t>
  </si>
  <si>
    <t xml:space="preserve">710 13th St #207, San Diego, CA 92101, USA</t>
  </si>
  <si>
    <t xml:space="preserve">(858) 531-9560</t>
  </si>
  <si>
    <t xml:space="preserve">http://www.leafweddingphotography.com/</t>
  </si>
  <si>
    <t xml:space="preserve">San Diego Window Cleaning</t>
  </si>
  <si>
    <t xml:space="preserve">8709 Ildica St, Spring Valley, CA 91977, USA</t>
  </si>
  <si>
    <t xml:space="preserve">(619) 578-3118</t>
  </si>
  <si>
    <t xml:space="preserve">https://sandiegowindowcleaning.biz/#cid=glbc</t>
  </si>
  <si>
    <t xml:space="preserve">5★ 78 reviews | Score: 10</t>
  </si>
  <si>
    <t xml:space="preserve">Double G Painting &amp; General Contracting</t>
  </si>
  <si>
    <t xml:space="preserve">4565 Ruffner St Suite 109, San Diego, CA 92111, USA</t>
  </si>
  <si>
    <t xml:space="preserve">(619) 665-0754</t>
  </si>
  <si>
    <t xml:space="preserve">https://doublegpainters.com/</t>
  </si>
  <si>
    <t xml:space="preserve">4.9★ 76 reviews | Score: 10</t>
  </si>
  <si>
    <t xml:space="preserve">Synergy &amp; Strength</t>
  </si>
  <si>
    <t xml:space="preserve">3468 Citrus St Suite C, Lemon Grove, CA 91945, USA</t>
  </si>
  <si>
    <t xml:space="preserve">(619) 339-1177</t>
  </si>
  <si>
    <t xml:space="preserve">http://synergyxstrength.com/</t>
  </si>
  <si>
    <t xml:space="preserve">5★ 73 reviews | Score: 10</t>
  </si>
  <si>
    <t xml:space="preserve">Paul Douda Photography</t>
  </si>
  <si>
    <t xml:space="preserve">7423 Rowena St, San Diego, CA 92119, USA</t>
  </si>
  <si>
    <t xml:space="preserve">(619) 456-1417</t>
  </si>
  <si>
    <t xml:space="preserve">http://www.pauldoudaphotography.com/</t>
  </si>
  <si>
    <t xml:space="preserve">5★ 72 reviews | Score: 10</t>
  </si>
  <si>
    <t xml:space="preserve">Streamline Roofing</t>
  </si>
  <si>
    <t xml:space="preserve">615 S Orange Ave, El Cajon, CA 92020, USA</t>
  </si>
  <si>
    <t xml:space="preserve">(619) 938-5882</t>
  </si>
  <si>
    <t xml:space="preserve">https://streamlineroof.com/?utm_source=google-business-profile&amp;utm_medium=organic&amp;utm_campaign=hook-gbp</t>
  </si>
  <si>
    <t xml:space="preserve">5★ 71 reviews | Score: 10</t>
  </si>
  <si>
    <t xml:space="preserve">Fish Window Cleaning</t>
  </si>
  <si>
    <t xml:space="preserve">3658 Ruffin Rd Suite A, San Diego, CA 92123, USA</t>
  </si>
  <si>
    <t xml:space="preserve">(619) 354-1399</t>
  </si>
  <si>
    <t xml:space="preserve">https://www.fishwindowcleaning.com/San-Diego-CA-3177/</t>
  </si>
  <si>
    <t xml:space="preserve">5★ 70 reviews | Score: 10</t>
  </si>
  <si>
    <t xml:space="preserve">Bauman Photographers</t>
  </si>
  <si>
    <t xml:space="preserve">4562 Alvarado Canyon Rd R, San Diego, CA 92120, USA</t>
  </si>
  <si>
    <t xml:space="preserve">(619) 232-3020</t>
  </si>
  <si>
    <t xml:space="preserve">https://baumanphotographers.com/</t>
  </si>
  <si>
    <t xml:space="preserve">4.9★ 69 reviews | Score: 10</t>
  </si>
  <si>
    <t xml:space="preserve">Janis Foley Photography</t>
  </si>
  <si>
    <t xml:space="preserve">1041 Market St UNIT 323, San Diego, CA 92101, USA</t>
  </si>
  <si>
    <t xml:space="preserve">(619) 723-7677</t>
  </si>
  <si>
    <t xml:space="preserve">https://www.janisfoley.com/</t>
  </si>
  <si>
    <t xml:space="preserve">5★ 69 reviews | Score: 10</t>
  </si>
  <si>
    <t xml:space="preserve">Top Tier Exterior Service - Window Cleaning, San Diego</t>
  </si>
  <si>
    <t xml:space="preserve">7356 Parkway Dr, La Mesa, CA 91942, USA</t>
  </si>
  <si>
    <t xml:space="preserve">(619) 890-8888</t>
  </si>
  <si>
    <t xml:space="preserve">https://toptierexteriorservice.com/</t>
  </si>
  <si>
    <t xml:space="preserve">5★ 67 reviews | Score: 10</t>
  </si>
  <si>
    <t xml:space="preserve">Winxton Tire Co.</t>
  </si>
  <si>
    <t xml:space="preserve">6944 El Cajon Blvd, San Diego, CA 92115, USA</t>
  </si>
  <si>
    <t xml:space="preserve">(619) 626-5132</t>
  </si>
  <si>
    <t xml:space="preserve">http://winxtontires.com/</t>
  </si>
  <si>
    <t xml:space="preserve">4.9★ 67 reviews | Score: 10</t>
  </si>
  <si>
    <t xml:space="preserve">San Diego Dry Cleaners &amp; Alterations</t>
  </si>
  <si>
    <t xml:space="preserve">10415 San Diego Mission Rd, San Diego, CA 92108, USA</t>
  </si>
  <si>
    <t xml:space="preserve">(619) 640-9355</t>
  </si>
  <si>
    <t xml:space="preserve">http://www.sddrycleaners.com/</t>
  </si>
  <si>
    <t xml:space="preserve">4.4★ 67 reviews | Score: 10</t>
  </si>
  <si>
    <t xml:space="preserve">Charles Tree Service</t>
  </si>
  <si>
    <t xml:space="preserve">3264 College Pl Suite 89, Lemon Grove, CA 91945, USA</t>
  </si>
  <si>
    <t xml:space="preserve">(619) 379-7034</t>
  </si>
  <si>
    <t xml:space="preserve">http://www.charlestreeservice.com/</t>
  </si>
  <si>
    <t xml:space="preserve">4.8★ 65 reviews | Score: 10</t>
  </si>
  <si>
    <t xml:space="preserve">Jassies Nail Lounge</t>
  </si>
  <si>
    <t xml:space="preserve">4541 College Ave, San Diego, CA 92115, USA</t>
  </si>
  <si>
    <t xml:space="preserve">(619) 888-8287</t>
  </si>
  <si>
    <t xml:space="preserve">http://www.jassiesnaillounge.com/</t>
  </si>
  <si>
    <t xml:space="preserve">4.7★ 65 reviews | Score: 10</t>
  </si>
  <si>
    <t xml:space="preserve">7 Day Locksmith Workshop San Diego</t>
  </si>
  <si>
    <t xml:space="preserve">4410 Glacier Ave #104, San Diego, CA 92120, USA</t>
  </si>
  <si>
    <t xml:space="preserve">(858) 522-9722</t>
  </si>
  <si>
    <t xml:space="preserve">https://7daylocksmith.com/</t>
  </si>
  <si>
    <t xml:space="preserve">4.7★ 63 reviews | Score: 10</t>
  </si>
  <si>
    <t xml:space="preserve">Atlas Roofing</t>
  </si>
  <si>
    <t xml:space="preserve">4455 Murphy Canyon Rd Ste 100, San Diego, CA 92123, USA</t>
  </si>
  <si>
    <t xml:space="preserve">(866) 303-2912</t>
  </si>
  <si>
    <t xml:space="preserve">https://atlasroofingpro.com/service-area/san-diego/?utm_source=google&amp;utm_medium=gbp&amp;utm_campaign=san_diego</t>
  </si>
  <si>
    <t xml:space="preserve">4.9★ 63 reviews | Score: 10</t>
  </si>
  <si>
    <t xml:space="preserve">MobileHome Painting Specialist</t>
  </si>
  <si>
    <t xml:space="preserve">10425 Tierrasanta Blvd #202, San Diego, CA 92124, USA</t>
  </si>
  <si>
    <t xml:space="preserve">(858) 414-8350</t>
  </si>
  <si>
    <t xml:space="preserve">http://www.mobilehomepainting.com/</t>
  </si>
  <si>
    <t xml:space="preserve">5★ 63 reviews | Score: 10</t>
  </si>
  <si>
    <t xml:space="preserve">Pioneer Roofing Company</t>
  </si>
  <si>
    <t xml:space="preserve">3111 Camino Del Rio N #400, San Diego, CA 92108, USA</t>
  </si>
  <si>
    <t xml:space="preserve">(619) 432-7663</t>
  </si>
  <si>
    <t xml:space="preserve">https://www.pioneerroofer.com/</t>
  </si>
  <si>
    <t xml:space="preserve">4.9★ 62 reviews | Score: 10</t>
  </si>
  <si>
    <t xml:space="preserve">City's Finest Carpet Care</t>
  </si>
  <si>
    <t xml:space="preserve">Trojan Ave, San Diego, CA 92115, USA</t>
  </si>
  <si>
    <t xml:space="preserve">(619) 485-0696</t>
  </si>
  <si>
    <t xml:space="preserve">http://www.citysfinestcarpetcare.com/</t>
  </si>
  <si>
    <t xml:space="preserve">Eyemazing Beauty Bar</t>
  </si>
  <si>
    <t xml:space="preserve">6602 El Cajon Blvd Suite F, San Diego, CA 92115, USA</t>
  </si>
  <si>
    <t xml:space="preserve">(619) 209-8730</t>
  </si>
  <si>
    <t xml:space="preserve">https://www.eyemazingbeautybarca.com/</t>
  </si>
  <si>
    <t xml:space="preserve">4.8★ 62 reviews | Score: 10</t>
  </si>
  <si>
    <t xml:space="preserve">Belle Âme Beauty Studio Lemon Grove</t>
  </si>
  <si>
    <t xml:space="preserve">7733 Palm St Ste 207, Lemon Grove, CA 91945, USA</t>
  </si>
  <si>
    <t xml:space="preserve">(619) 825-7070</t>
  </si>
  <si>
    <t xml:space="preserve">http://www.belleamebeautystudio.com/</t>
  </si>
  <si>
    <t xml:space="preserve">5★ 62 reviews | Score: 10</t>
  </si>
  <si>
    <t xml:space="preserve">Jackson Hewitt Tax Service</t>
  </si>
  <si>
    <t xml:space="preserve">3412 College Ave, San Diego, CA 92115, USA</t>
  </si>
  <si>
    <t xml:space="preserve">(619) 589-1012</t>
  </si>
  <si>
    <t xml:space="preserve">https://office.jacksonhewitt.com/tax-preparation-services-locations/en/ca/san-diego/3412-college-ave/52479?utm_source=google&amp;utm_medium=local&amp;utm_campaign=local&amp;utm_content=52479</t>
  </si>
  <si>
    <t xml:space="preserve">4.7★ 61 reviews | Score: 10</t>
  </si>
  <si>
    <t xml:space="preserve">Italiano Tax Solutions, Inc. Dba Lacy Italiano, EA</t>
  </si>
  <si>
    <t xml:space="preserve">7851 University Ave Ste 208, La Mesa, CA 91942, USA</t>
  </si>
  <si>
    <t xml:space="preserve">(619) 460-4790</t>
  </si>
  <si>
    <t xml:space="preserve">http://www.lacyitaliano.com/</t>
  </si>
  <si>
    <t xml:space="preserve">5★ 61 reviews | Score: 10</t>
  </si>
  <si>
    <t xml:space="preserve">Hong Auto Service</t>
  </si>
  <si>
    <t xml:space="preserve">5312 El Cajon Blvd, San Diego, CA 92115, USA</t>
  </si>
  <si>
    <t xml:space="preserve">(619) 265-0635</t>
  </si>
  <si>
    <t xml:space="preserve">http://www.hongautoservice.com/</t>
  </si>
  <si>
    <t xml:space="preserve">4.8★ 60 reviews | Score: 10</t>
  </si>
  <si>
    <t xml:space="preserve">La Mesa Tire Company</t>
  </si>
  <si>
    <t xml:space="preserve">6231 University Ave, San Diego, CA 92115, USA</t>
  </si>
  <si>
    <t xml:space="preserve">(619) 583-1556</t>
  </si>
  <si>
    <t xml:space="preserve">https://www.lamesatirecompany.com/</t>
  </si>
  <si>
    <t xml:space="preserve">4.2★ 139 reviews | established - may have marketing already | Score: 0</t>
  </si>
  <si>
    <t xml:space="preserve">UT Nails &amp; Spa</t>
  </si>
  <si>
    <t xml:space="preserve">6512 El Cajon Blvd ste f, San Diego, CA 92115, USA</t>
  </si>
  <si>
    <t xml:space="preserve">(619) 589-5259</t>
  </si>
  <si>
    <t xml:space="preserve">https://www.facebook.com/UT-Nails-Spa-102947985016762</t>
  </si>
  <si>
    <t xml:space="preserve">4.2★ 127 reviews | established - may have marketing already | Score: 0</t>
  </si>
  <si>
    <t xml:space="preserve">Victorian Nails</t>
  </si>
  <si>
    <t xml:space="preserve">5961 El Cajon Blvd, San Diego, CA 92115, USA</t>
  </si>
  <si>
    <t xml:space="preserve">(619) 286-7616</t>
  </si>
  <si>
    <t xml:space="preserve">http://www.facebook.com/sdvictoriannails</t>
  </si>
  <si>
    <t xml:space="preserve">4.2★ 68 reviews | Score: 0</t>
  </si>
  <si>
    <t xml:space="preserve">All County Power Wash &amp; Steam Cleaning, Inc.</t>
  </si>
  <si>
    <t xml:space="preserve">6401 El Cajon Blvd, San Diego, CA 92115, USA</t>
  </si>
  <si>
    <t xml:space="preserve">(619) 807-9624</t>
  </si>
  <si>
    <t xml:space="preserve">http://www.allcountypowerwash.com/</t>
  </si>
  <si>
    <t xml:space="preserve">0★ 0 reviews | Score: 0</t>
  </si>
  <si>
    <t xml:space="preserve">Joshua's Pest Control</t>
  </si>
  <si>
    <t xml:space="preserve">6867 Nancy Ridge Dr Suite E, San Diego, CA 92121, USA</t>
  </si>
  <si>
    <t xml:space="preserve">(858) 547-9900</t>
  </si>
  <si>
    <t xml:space="preserve">https://joshuaspestcontrol.com/locations/san-diego/</t>
  </si>
  <si>
    <t xml:space="preserve">4.8★ 4573 reviews | established - may have marketing already | Score: -20</t>
  </si>
  <si>
    <t xml:space="preserve">Thrasher Pest Control</t>
  </si>
  <si>
    <t xml:space="preserve">8957 Complex Dr, San Diego, CA 92123, USA</t>
  </si>
  <si>
    <t xml:space="preserve">(619) 407-9078</t>
  </si>
  <si>
    <t xml:space="preserve">https://thrasherpest.com/?utm_campaign=gmb&amp;utm_content=san-diego-ca&amp;utm_medium=gbp&amp;utm_source=google</t>
  </si>
  <si>
    <t xml:space="preserve">5★ 2966 reviews | established - may have marketing already | Score: -20</t>
  </si>
  <si>
    <t xml:space="preserve">Orkin</t>
  </si>
  <si>
    <t xml:space="preserve">9471 Ridgehaven Ct STE A, San Diego, CA 92123, USA</t>
  </si>
  <si>
    <t xml:space="preserve">(619) 821-3580</t>
  </si>
  <si>
    <t xml:space="preserve">https://www.orkin.com/locations/california-ca/san-diego-pest-control/branch-827?utm_source=local&amp;utm_medium=local&amp;utm_campaign=LCL0302</t>
  </si>
  <si>
    <t xml:space="preserve">4.8★ 1839 reviews | established - may have marketing already | Score: -20</t>
  </si>
  <si>
    <t xml:space="preserve">Same Day Heating, Cooling, Plumbing</t>
  </si>
  <si>
    <t xml:space="preserve">9771 Clairemont Mesa Blvd Suite E, San Diego, CA 92124, USA</t>
  </si>
  <si>
    <t xml:space="preserve">(619) 486-3325</t>
  </si>
  <si>
    <t xml:space="preserve">https://samedaysd.com/</t>
  </si>
  <si>
    <t xml:space="preserve">4.8★ 1717 reviews | established - may have marketing already | Score: -20</t>
  </si>
  <si>
    <t xml:space="preserve">Point Loma Electric, Plumbing, Heating &amp; Air</t>
  </si>
  <si>
    <t xml:space="preserve">4990 Viewridge Ave Suite 100, San Diego, CA 92123, USA</t>
  </si>
  <si>
    <t xml:space="preserve">(619) 738-3101</t>
  </si>
  <si>
    <t xml:space="preserve">http://pointlomahomepros.com/</t>
  </si>
  <si>
    <t xml:space="preserve">4.9★ 1610 reviews | established - may have marketing already | Score: -20</t>
  </si>
  <si>
    <t xml:space="preserve">Tc locksmith Inc</t>
  </si>
  <si>
    <t xml:space="preserve">(760) 462-6212</t>
  </si>
  <si>
    <t xml:space="preserve">https://tclocksmithsd.com/</t>
  </si>
  <si>
    <t xml:space="preserve">4.9★ 1532 reviews | established - may have marketing already | Score: -20</t>
  </si>
  <si>
    <t xml:space="preserve">John's Garage Door Services</t>
  </si>
  <si>
    <t xml:space="preserve">3052 Clairemont Dr STE 5, San Diego, CA 92117, USA</t>
  </si>
  <si>
    <t xml:space="preserve">(619) 880-5480</t>
  </si>
  <si>
    <t xml:space="preserve">https://johnsgaragesd.com/</t>
  </si>
  <si>
    <t xml:space="preserve">5★ 1382 reviews | established - may have marketing already | Score: -20</t>
  </si>
  <si>
    <t xml:space="preserve">Rockstar Garage Door Services</t>
  </si>
  <si>
    <t xml:space="preserve">(619) 930-9854</t>
  </si>
  <si>
    <t xml:space="preserve">https://rsgaragedoorservices.com/</t>
  </si>
  <si>
    <t xml:space="preserve">4.9★ 1185 reviews | established - may have marketing already | Score: -20</t>
  </si>
  <si>
    <t xml:space="preserve">Monster Steamer Carpet Cleaning</t>
  </si>
  <si>
    <t xml:space="preserve">3780 Swift Ave UNIT 15, San Diego, CA 92104, USA</t>
  </si>
  <si>
    <t xml:space="preserve">(619) 201-9480</t>
  </si>
  <si>
    <t xml:space="preserve">https://monstersteamer.net/?utm_source=GBP&amp;utm_medium=organic&amp;utm_campaign=main-button-gbp</t>
  </si>
  <si>
    <t xml:space="preserve">5★ 1104 reviews | established - may have marketing already | Score: -20</t>
  </si>
  <si>
    <t xml:space="preserve">A+ Movers</t>
  </si>
  <si>
    <t xml:space="preserve">168 Millar Ave, El Cajon, CA 92020, USA</t>
  </si>
  <si>
    <t xml:space="preserve">(619) 219-4987</t>
  </si>
  <si>
    <t xml:space="preserve">https://aplusmoverssd.com/</t>
  </si>
  <si>
    <t xml:space="preserve">5★ 935 reviews | established - may have marketing already | Score: -20</t>
  </si>
  <si>
    <t xml:space="preserve">The Key Crew Locksmith</t>
  </si>
  <si>
    <t xml:space="preserve">3501 Adams Ave Suite B, San Diego, CA 92116, USA</t>
  </si>
  <si>
    <t xml:space="preserve">(619) 209-3554</t>
  </si>
  <si>
    <t xml:space="preserve">https://thekeycrew.com/</t>
  </si>
  <si>
    <t xml:space="preserve">4.8★ 886 reviews | established - may have marketing already | Score: -20</t>
  </si>
  <si>
    <t xml:space="preserve">Pappy's Barber Shop San Diego</t>
  </si>
  <si>
    <t xml:space="preserve">6545 El Cajon Blvd, San Diego, CA 92115, USA</t>
  </si>
  <si>
    <t xml:space="preserve">(619) 885-2887</t>
  </si>
  <si>
    <t xml:space="preserve">4.8★ 836 reviews | established - may have marketing already | Score: -20</t>
  </si>
  <si>
    <t xml:space="preserve">STELLA MOVING &amp; DELIVERY | SAN DIEGO</t>
  </si>
  <si>
    <t xml:space="preserve">2341 Ulric St B-12, San Diego, CA 92111, USA</t>
  </si>
  <si>
    <t xml:space="preserve">(619) 393-6426</t>
  </si>
  <si>
    <t xml:space="preserve">https://www.stellamoving.com/?utm_campaign=gmb</t>
  </si>
  <si>
    <t xml:space="preserve">4.9★ 834 reviews | established - may have marketing already | Score: -20</t>
  </si>
  <si>
    <t xml:space="preserve">Shine Bright San Diego</t>
  </si>
  <si>
    <t xml:space="preserve">5111 Santa Fe St Unit B and C, San Diego, CA 92109, USA</t>
  </si>
  <si>
    <t xml:space="preserve">(619) 789-4467</t>
  </si>
  <si>
    <t xml:space="preserve">http://www.shinebrightsd.com/?utm_source=gmb&amp;utm_medium=organic&amp;utm_campaign=SanDiego</t>
  </si>
  <si>
    <t xml:space="preserve">4.9★ 810 reviews | established - may have marketing already | Score: -20</t>
  </si>
  <si>
    <t xml:space="preserve">Noble Locksmith</t>
  </si>
  <si>
    <t xml:space="preserve">8734 Lake Murray Blvd, San Diego, CA 92119, USA</t>
  </si>
  <si>
    <t xml:space="preserve">(619) 304-6128</t>
  </si>
  <si>
    <t xml:space="preserve">https://noblelockandkey.com/</t>
  </si>
  <si>
    <t xml:space="preserve">4.9★ 724 reviews | established - may have marketing already | Score: -20</t>
  </si>
  <si>
    <t xml:space="preserve">ADS Garage Doors and Gates Repair</t>
  </si>
  <si>
    <t xml:space="preserve">6837 Nancy Ridge Dr Suite I, San Diego, CA 92121, USA</t>
  </si>
  <si>
    <t xml:space="preserve">(858) 544-8225</t>
  </si>
  <si>
    <t xml:space="preserve">https://www.automaticdoorspecialists.com/?utm_source=gbp&amp;utm_medium=organic&amp;utm_campaign=gbp-san-diego</t>
  </si>
  <si>
    <t xml:space="preserve">4.9★ 719 reviews | established - may have marketing already | Score: -20</t>
  </si>
  <si>
    <t xml:space="preserve">Friar's Plumbing Heating and AC Repair</t>
  </si>
  <si>
    <t xml:space="preserve">5555 Magnatron Blvd Ste G, San Diego, CA 92111, USA</t>
  </si>
  <si>
    <t xml:space="preserve">(619) 317-1730</t>
  </si>
  <si>
    <t xml:space="preserve">https://www.friarsair.com/ac-repair-san-diego-ca/</t>
  </si>
  <si>
    <t xml:space="preserve">4.9★ 641 reviews | established - may have marketing already | Score: -20</t>
  </si>
  <si>
    <t xml:space="preserve">Elite Nails&amp;Lash Nail Salon La Mesa CA</t>
  </si>
  <si>
    <t xml:space="preserve">7297 University Ave, La Mesa, CA 91942, USA</t>
  </si>
  <si>
    <t xml:space="preserve">(619) 461-4663</t>
  </si>
  <si>
    <t xml:space="preserve">http://elitenailsandlashlamesa.com/</t>
  </si>
  <si>
    <t xml:space="preserve">4.9★ 633 reviews | established - may have marketing already | Score: -20</t>
  </si>
  <si>
    <t xml:space="preserve">Lloyd Pest &amp; Termite Control</t>
  </si>
  <si>
    <t xml:space="preserve">935 Sherman St, San Diego, CA 92110, USA</t>
  </si>
  <si>
    <t xml:space="preserve">(619) 298-9865</t>
  </si>
  <si>
    <t xml:space="preserve">https://www.lloydpest.com/service-areas/pest-control-in-san-diego-ca?utm_source=gbplistings&amp;utm_medium=organic&amp;utm_campaign=935-sherman-st</t>
  </si>
  <si>
    <t xml:space="preserve">4.8★ 630 reviews | established - may have marketing already | Score: -20</t>
  </si>
  <si>
    <t xml:space="preserve">SRP Electric Inc.</t>
  </si>
  <si>
    <t xml:space="preserve">5980 Fairmount Ave #108, San Diego, CA 92120, USA</t>
  </si>
  <si>
    <t xml:space="preserve">(858) 900-8535</t>
  </si>
  <si>
    <t xml:space="preserve">https://www.srpelectricinc.com/</t>
  </si>
  <si>
    <t xml:space="preserve">5★ 576 reviews | established - may have marketing already | Score: -20</t>
  </si>
  <si>
    <t xml:space="preserve">Busy Bees Locks &amp; Keys Locksmith</t>
  </si>
  <si>
    <t xml:space="preserve">6160 Fairmount Ave STE F, San Diego, CA 92120, USA</t>
  </si>
  <si>
    <t xml:space="preserve">(619) 733-0172</t>
  </si>
  <si>
    <t xml:space="preserve">https://www.busybeeslocksmith.com/</t>
  </si>
  <si>
    <t xml:space="preserve">5★ 565 reviews | established - may have marketing already | Score: -20</t>
  </si>
  <si>
    <t xml:space="preserve">Space Moving &amp; Storage</t>
  </si>
  <si>
    <t xml:space="preserve">7901 Civita Blvd #452, San Diego, CA 92108, USA</t>
  </si>
  <si>
    <t xml:space="preserve">(858) 334-5644</t>
  </si>
  <si>
    <t xml:space="preserve">http://space-moving.com/?utm_campaign=gmb</t>
  </si>
  <si>
    <t xml:space="preserve">4.9★ 522 reviews | established - may have marketing already | Score: -20</t>
  </si>
  <si>
    <t xml:space="preserve">Unstoppable Handyman Services</t>
  </si>
  <si>
    <t xml:space="preserve">2873 Citronella Ave, Lemon Grove, CA 91945, USA</t>
  </si>
  <si>
    <t xml:space="preserve">(619) 815-7588</t>
  </si>
  <si>
    <t xml:space="preserve">http://www.unstoppablehandyman.com/</t>
  </si>
  <si>
    <t xml:space="preserve">4.9★ 505 reviews | established - may have marketing already | Score: -20</t>
  </si>
  <si>
    <t xml:space="preserve">ProperShop Garage Door Services</t>
  </si>
  <si>
    <t xml:space="preserve">5980 Fairmount Ave # 111, San Diego, CA 92120, USA</t>
  </si>
  <si>
    <t xml:space="preserve">(858) 544-1561</t>
  </si>
  <si>
    <t xml:space="preserve">https://propershopgarage.com/locations/ca/san-diego</t>
  </si>
  <si>
    <t xml:space="preserve">5★ 476 reviews | established - may have marketing already | Score: -20</t>
  </si>
  <si>
    <t xml:space="preserve">Mission Pest Control</t>
  </si>
  <si>
    <t xml:space="preserve">4080 Centre St Suite 207 #2, San Diego, CA 92103, USA</t>
  </si>
  <si>
    <t xml:space="preserve">(619) 413-9590</t>
  </si>
  <si>
    <t xml:space="preserve">https://missionpestcontrol.com/san-diego-ca/?utm_source=gbp&amp;utm_medium=organic&amp;utm_campaign=san-diego-2</t>
  </si>
  <si>
    <t xml:space="preserve">4.9★ 474 reviews | established - may have marketing already | Score: -20</t>
  </si>
  <si>
    <t xml:space="preserve">Open Sesame Garage Doors and Gates</t>
  </si>
  <si>
    <t xml:space="preserve">4060 Rosarita Dr, La Mesa, CA 91941, USA</t>
  </si>
  <si>
    <t xml:space="preserve">(619) 330-9335</t>
  </si>
  <si>
    <t xml:space="preserve">https://garagedoorrepairlamesa.com/</t>
  </si>
  <si>
    <t xml:space="preserve">5★ 474 reviews | established - may have marketing already | Score: -20</t>
  </si>
  <si>
    <t xml:space="preserve">College Hunks Hauling Junk and Moving San Diego</t>
  </si>
  <si>
    <t xml:space="preserve">3944 Murphy Canyon Rd Suite C102, San Diego, CA 92123, USA</t>
  </si>
  <si>
    <t xml:space="preserve">(619) 651-9687</t>
  </si>
  <si>
    <t xml:space="preserve">https://www.collegehunkshaulingjunk.com/san-diego/?utm_source=GMB&amp;utm_medium=organic&amp;utm_campaign=ca-san-diego-478</t>
  </si>
  <si>
    <t xml:space="preserve">4.9★ 471 reviews | established - may have marketing already | Score: -20</t>
  </si>
  <si>
    <t xml:space="preserve">PKA Photo &amp; Video</t>
  </si>
  <si>
    <t xml:space="preserve">915 W Grape St Apt 507, San Diego, CA 92101, USA</t>
  </si>
  <si>
    <t xml:space="preserve">(619) 948-2826</t>
  </si>
  <si>
    <t xml:space="preserve">http://www.pkaphoto.com/</t>
  </si>
  <si>
    <t xml:space="preserve">5★ 442 reviews | established - may have marketing already | Score: -20</t>
  </si>
  <si>
    <t xml:space="preserve">E-Drains, Inc.</t>
  </si>
  <si>
    <t xml:space="preserve">7353 El Cajon Blvd Suite 100, La Mesa, CA 91942, USA</t>
  </si>
  <si>
    <t xml:space="preserve">(844) 353-7246</t>
  </si>
  <si>
    <t xml:space="preserve">https://edrains.com/?utm_source=ds_gbp_listing&amp;utm_medium=organic+&amp;utm_campaign=gbp_mainbutton</t>
  </si>
  <si>
    <t xml:space="preserve">4.7★ 411 reviews | established - may have marketing already | Score: -20</t>
  </si>
  <si>
    <t xml:space="preserve">Bond's Automotive &amp; Collision</t>
  </si>
  <si>
    <t xml:space="preserve">7215 El Cajon Blvd, San Diego, CA 92115, USA</t>
  </si>
  <si>
    <t xml:space="preserve">(619) 461-7623</t>
  </si>
  <si>
    <t xml:space="preserve">http://bondsautomotive.com/</t>
  </si>
  <si>
    <t xml:space="preserve">4.8★ 404 reviews | established - may have marketing already | Score: -20</t>
  </si>
  <si>
    <t xml:space="preserve">Best Garage Door &amp; Gate Repair Services</t>
  </si>
  <si>
    <t xml:space="preserve">300 14th St APT 910, San Diego, CA 92101, USA</t>
  </si>
  <si>
    <t xml:space="preserve">(619) 877-6218</t>
  </si>
  <si>
    <t xml:space="preserve">https://bestgaragedoor.us/</t>
  </si>
  <si>
    <t xml:space="preserve">5★ 396 reviews | established - may have marketing already | Score: -20</t>
  </si>
  <si>
    <t xml:space="preserve">CHRISTINE'S MOVERS</t>
  </si>
  <si>
    <t xml:space="preserve">1947 Dartmoor Dr, Lemon Grove, CA 91945, USA</t>
  </si>
  <si>
    <t xml:space="preserve">(619) 669-8565</t>
  </si>
  <si>
    <t xml:space="preserve">https://www.christinesmovers.com/</t>
  </si>
  <si>
    <t xml:space="preserve">5★ 379 reviews | established - may have marketing already | Score: -20</t>
  </si>
  <si>
    <t xml:space="preserve">Nail's Paradise and Spa - Nail Salon San Diego, CA</t>
  </si>
  <si>
    <t xml:space="preserve">7032 El Cajon Blvd, San Diego, CA 92115, USA</t>
  </si>
  <si>
    <t xml:space="preserve">(619) 466-8208</t>
  </si>
  <si>
    <t xml:space="preserve">http://nailsparadiseandspa.com/</t>
  </si>
  <si>
    <t xml:space="preserve">4.8★ 372 reviews | established - may have marketing already | Score: -20</t>
  </si>
  <si>
    <t xml:space="preserve">American Plumbing Co | Plumber in San Diego</t>
  </si>
  <si>
    <t xml:space="preserve">422 21st St, San Diego, CA 92102, USA</t>
  </si>
  <si>
    <t xml:space="preserve">(619) 723-1114</t>
  </si>
  <si>
    <t xml:space="preserve">https://plumbersandiegoonline.com/</t>
  </si>
  <si>
    <t xml:space="preserve">4.9★ 366 reviews | established - may have marketing already | Score: -20</t>
  </si>
  <si>
    <t xml:space="preserve">Unique Threading</t>
  </si>
  <si>
    <t xml:space="preserve">6784 El Cajon Blvd, San Diego, CA 92115, USA</t>
  </si>
  <si>
    <t xml:space="preserve">(619) 609-5413</t>
  </si>
  <si>
    <t xml:space="preserve">https://uniq-beauti.com/services/</t>
  </si>
  <si>
    <t xml:space="preserve">5★ 344 reviews | established - may have marketing already | Score: -20</t>
  </si>
  <si>
    <t xml:space="preserve">Genius garage door</t>
  </si>
  <si>
    <t xml:space="preserve">7125 Galewood St, San Diego, CA 92120, USA</t>
  </si>
  <si>
    <t xml:space="preserve">(858) 239-2313</t>
  </si>
  <si>
    <t xml:space="preserve">https://geniusgaragedoor.com/</t>
  </si>
  <si>
    <t xml:space="preserve">5★ 326 reviews | established - may have marketing already | Score: -20</t>
  </si>
  <si>
    <t xml:space="preserve">Stuart Quick Dry Carpet Cleaning</t>
  </si>
  <si>
    <t xml:space="preserve">9536 Corte De La Donna, Santee, CA 92071, USA</t>
  </si>
  <si>
    <t xml:space="preserve">(619) 788-1618</t>
  </si>
  <si>
    <t xml:space="preserve">https://stuartcarpetcleaning.com/</t>
  </si>
  <si>
    <t xml:space="preserve">5★ 322 reviews | established - may have marketing already | Score: -20</t>
  </si>
  <si>
    <t xml:space="preserve">John Padilla Plumbing, Sewer and Drains</t>
  </si>
  <si>
    <t xml:space="preserve">8101 La Mesa Blvd Suite #4, La Mesa, CA 91942, USA</t>
  </si>
  <si>
    <t xml:space="preserve">(619) 648-5231</t>
  </si>
  <si>
    <t xml:space="preserve">https://www.jpplumbers.com/areas-we-serve/la-mesa-ca</t>
  </si>
  <si>
    <t xml:space="preserve">4.9★ 320 reviews | established - may have marketing already | Score: -20</t>
  </si>
  <si>
    <t xml:space="preserve">Sal &amp; Son Electric</t>
  </si>
  <si>
    <t xml:space="preserve">10135 Diamond Head Ct, Spring Valley, CA 91977, USA</t>
  </si>
  <si>
    <t xml:space="preserve">(858) 335-6179</t>
  </si>
  <si>
    <t xml:space="preserve">https://salsonselectricinc.net/</t>
  </si>
  <si>
    <t xml:space="preserve">5★ 315 reviews | established - may have marketing already | Score: -20</t>
  </si>
  <si>
    <t xml:space="preserve">Get Rooter &amp; Plumbing</t>
  </si>
  <si>
    <t xml:space="preserve">2272 Madroncillo St, San Diego, CA 92114, USA</t>
  </si>
  <si>
    <t xml:space="preserve">(619) 706-9996</t>
  </si>
  <si>
    <t xml:space="preserve">http://getrooternow.com/</t>
  </si>
  <si>
    <t xml:space="preserve">4.9★ 292 reviews | established - may have marketing already | Score: -20</t>
  </si>
  <si>
    <t xml:space="preserve">Eco-Dry Carpet Care</t>
  </si>
  <si>
    <t xml:space="preserve">3821 Utah St #5, San Diego, CA 92104, USA</t>
  </si>
  <si>
    <t xml:space="preserve">(619) 944-8870</t>
  </si>
  <si>
    <t xml:space="preserve">http://www.eco-dry.net/</t>
  </si>
  <si>
    <t xml:space="preserve">4.9★ 290 reviews | established - may have marketing already | Score: -20</t>
  </si>
  <si>
    <t xml:space="preserve">Harbor Pest Control</t>
  </si>
  <si>
    <t xml:space="preserve">6160 Fairmount Ave Suite K, San Diego, CA 92120, USA</t>
  </si>
  <si>
    <t xml:space="preserve">(619) 584-8155</t>
  </si>
  <si>
    <t xml:space="preserve">https://harborpest.com/?utm_source=google&amp;utm_medium=organic&amp;utm_campaign=san-diego-gmb</t>
  </si>
  <si>
    <t xml:space="preserve">4.7★ 288 reviews | established - may have marketing already | Score: -20</t>
  </si>
  <si>
    <t xml:space="preserve">Lifetime Custom Painting Inc</t>
  </si>
  <si>
    <t xml:space="preserve">3601 30th St, San Diego, CA 92104, USA</t>
  </si>
  <si>
    <t xml:space="preserve">(619) 314-8622</t>
  </si>
  <si>
    <t xml:space="preserve">https://lifetimecustom.com/?utm_source=google&amp;utm_medium=business-profile&amp;utm_campaign=google-business-profile</t>
  </si>
  <si>
    <t xml:space="preserve">4.9★ 274 reviews | established - may have marketing already | Score: -20</t>
  </si>
  <si>
    <t xml:space="preserve">Aid-U Moving Company</t>
  </si>
  <si>
    <t xml:space="preserve">6029 Fairmount Ave ste c, San Diego, CA 92120, USA</t>
  </si>
  <si>
    <t xml:space="preserve">(858) 329-0900</t>
  </si>
  <si>
    <t xml:space="preserve">https://aidumoving.com/</t>
  </si>
  <si>
    <t xml:space="preserve">4.9★ 268 reviews | established - may have marketing already | Score: -20</t>
  </si>
  <si>
    <t xml:space="preserve">SOCAL TIRE DEPOT</t>
  </si>
  <si>
    <t xml:space="preserve">4596 El Cajon Blvd A, San Diego, CA 92115, USA</t>
  </si>
  <si>
    <t xml:space="preserve">(619) 665-8705</t>
  </si>
  <si>
    <t xml:space="preserve">http://www.socaltiredepot.com/</t>
  </si>
  <si>
    <t xml:space="preserve">4.6★ 266 reviews | established - may have marketing already | Score: -20</t>
  </si>
  <si>
    <t xml:space="preserve">Imperial Carpet Cleaning San Diego</t>
  </si>
  <si>
    <t xml:space="preserve">2305 Historic Decatur Rd Suite 100, San Diego, CA 92106, USA</t>
  </si>
  <si>
    <t xml:space="preserve">(858) 688-2246</t>
  </si>
  <si>
    <t xml:space="preserve">https://www.imperialcarpetclean.com/</t>
  </si>
  <si>
    <t xml:space="preserve">4.9★ 253 reviews | established - may have marketing already | Score: -20</t>
  </si>
  <si>
    <t xml:space="preserve">PaintGreen</t>
  </si>
  <si>
    <t xml:space="preserve">8861 Balboa Ave STE A, San Diego, CA 92123, USA</t>
  </si>
  <si>
    <t xml:space="preserve">(619) 446-6983</t>
  </si>
  <si>
    <t xml:space="preserve">http://www.paintgreen.com/</t>
  </si>
  <si>
    <t xml:space="preserve">5★ 246 reviews | established - may have marketing already | Score: -20</t>
  </si>
  <si>
    <t xml:space="preserve">San Diego Pressure Washing and Window Cleaning</t>
  </si>
  <si>
    <t xml:space="preserve">14516 Twin Peaks Rd, Poway, CA 92064, USA</t>
  </si>
  <si>
    <t xml:space="preserve">(858) 703-7250</t>
  </si>
  <si>
    <t xml:space="preserve">https://sandiegopressurewashing.com/?utm_source=gmb&amp;utm_medium=organic&amp;utm_campaign=san_diego_pressure_washing</t>
  </si>
  <si>
    <t xml:space="preserve">4.9★ 243 reviews | established - may have marketing already | Score: -20</t>
  </si>
  <si>
    <t xml:space="preserve">San Diego Softwash</t>
  </si>
  <si>
    <t xml:space="preserve">239 Laurel St, San Diego, CA 92101, USA</t>
  </si>
  <si>
    <t xml:space="preserve">(619) 933-0257</t>
  </si>
  <si>
    <t xml:space="preserve">https://sandiego-softwash.com/</t>
  </si>
  <si>
    <t xml:space="preserve">4.9★ 242 reviews | established - may have marketing already | Score: -20</t>
  </si>
  <si>
    <t xml:space="preserve">Stress-Free Auto Care</t>
  </si>
  <si>
    <t xml:space="preserve">7633 El Cajon Blvd # 300, La Mesa, CA 91942, USA</t>
  </si>
  <si>
    <t xml:space="preserve">(619) 463-1484</t>
  </si>
  <si>
    <t xml:space="preserve">https://www.stressfree.com/shops/la-mesa</t>
  </si>
  <si>
    <t xml:space="preserve">4.9★ 238 reviews | established - may have marketing already | Score: -20</t>
  </si>
  <si>
    <t xml:space="preserve">Spark Appliance Repair</t>
  </si>
  <si>
    <t xml:space="preserve">2637 Summitview Ln, Spring Valley, CA 91977, USA</t>
  </si>
  <si>
    <t xml:space="preserve">(619) 330-5105</t>
  </si>
  <si>
    <t xml:space="preserve">https://sparkappliancerepair.us/?utm_source=gmb&amp;utm_medium=site</t>
  </si>
  <si>
    <t xml:space="preserve">5★ 235 reviews | established - may have marketing already | Score: -20</t>
  </si>
  <si>
    <t xml:space="preserve">ECH Appliance Repair</t>
  </si>
  <si>
    <t xml:space="preserve">3145 31st St, San Diego, CA 92104, USA</t>
  </si>
  <si>
    <t xml:space="preserve">(619) 642-2444</t>
  </si>
  <si>
    <t xml:space="preserve">https://echappliancerepair.com/</t>
  </si>
  <si>
    <t xml:space="preserve">4.9★ 235 reviews | established - may have marketing already | Score: -20</t>
  </si>
  <si>
    <t xml:space="preserve">Team Power Tires</t>
  </si>
  <si>
    <t xml:space="preserve">6130 El Cajon Blvd, San Diego, CA 92115, USA</t>
  </si>
  <si>
    <t xml:space="preserve">(619) 225-7662</t>
  </si>
  <si>
    <t xml:space="preserve">https://www.teampowertires.com/</t>
  </si>
  <si>
    <t xml:space="preserve">4.8★ 231 reviews | established - may have marketing already | Score: -20</t>
  </si>
  <si>
    <t xml:space="preserve">Ideal Plumbing Heating Air Electrical</t>
  </si>
  <si>
    <t xml:space="preserve">5161 Waring Rd, San Diego, CA 92120, USA</t>
  </si>
  <si>
    <t xml:space="preserve">(619) 320-5990</t>
  </si>
  <si>
    <t xml:space="preserve">https://idealservice.com/?utm_source=google-gbp&amp;utm_medium=organic&amp;utm_campaign=*384*ideal-plumbing-san-diego</t>
  </si>
  <si>
    <t xml:space="preserve">4.8★ 228 reviews | established - may have marketing already | Score: -20</t>
  </si>
  <si>
    <t xml:space="preserve">American Plumbing Group</t>
  </si>
  <si>
    <t xml:space="preserve">4401 Twain Ave ste#1, San Diego, CA 92120, USA</t>
  </si>
  <si>
    <t xml:space="preserve">(619) 534-7034</t>
  </si>
  <si>
    <t xml:space="preserve">https://www.americanplumbinggroup.com/</t>
  </si>
  <si>
    <t xml:space="preserve">5★ 226 reviews | established - may have marketing already | Score: -20</t>
  </si>
  <si>
    <t xml:space="preserve">Smith &amp; Sons Heating and Air Inc.</t>
  </si>
  <si>
    <t xml:space="preserve">8859 Balboa Ave STE E, San Diego, CA 92123, USA</t>
  </si>
  <si>
    <t xml:space="preserve">(619) 251-9285</t>
  </si>
  <si>
    <t xml:space="preserve">https://smithandsonsheatandair.com/</t>
  </si>
  <si>
    <t xml:space="preserve">5★ 225 reviews | established - may have marketing already | Score: -20</t>
  </si>
  <si>
    <t xml:space="preserve">La Mesa Flooring Company</t>
  </si>
  <si>
    <t xml:space="preserve">8772 La Mesa Blvd, La Mesa, CA 91942, USA</t>
  </si>
  <si>
    <t xml:space="preserve">(619) 463-7755</t>
  </si>
  <si>
    <t xml:space="preserve">https://lamesaflooring.com/</t>
  </si>
  <si>
    <t xml:space="preserve">4.8★ 221 reviews | established - may have marketing already | Score: -20</t>
  </si>
  <si>
    <t xml:space="preserve">Lion Pride Moving</t>
  </si>
  <si>
    <t xml:space="preserve">8900 Grossmont Blvd Suite 4.3, La Mesa, CA 91941, USA</t>
  </si>
  <si>
    <t xml:space="preserve">(619) 341-4554</t>
  </si>
  <si>
    <t xml:space="preserve">https://lionpridemoving.com/</t>
  </si>
  <si>
    <t xml:space="preserve">4.9★ 220 reviews | established - may have marketing already | Score: -20</t>
  </si>
  <si>
    <t xml:space="preserve">Jackson &amp; Foster Heating and Air Conditioning</t>
  </si>
  <si>
    <t xml:space="preserve">7574 University Ave, La Mesa, CA 91942, USA</t>
  </si>
  <si>
    <t xml:space="preserve">(619) 667-4328</t>
  </si>
  <si>
    <t xml:space="preserve">https://jacksonfoster.com/?utm_source=google&amp;utm_medium=organic&amp;utm_campaign=gbp</t>
  </si>
  <si>
    <t xml:space="preserve">4.9★ 216 reviews | established - may have marketing already | Score: -20</t>
  </si>
  <si>
    <t xml:space="preserve">Discount Plumbing San Diego</t>
  </si>
  <si>
    <t xml:space="preserve">2535 Camino Del Rio N, San Diego, CA 92108, USA</t>
  </si>
  <si>
    <t xml:space="preserve">(619) 329-8394</t>
  </si>
  <si>
    <t xml:space="preserve">https://www.discountplumbingsandiego.com/?utm_campaign=gmb</t>
  </si>
  <si>
    <t xml:space="preserve">4.5★ 213 reviews | established - may have marketing already | Score: -20</t>
  </si>
  <si>
    <t xml:space="preserve">Radford Garage Doors &amp; Gates of San Diego</t>
  </si>
  <si>
    <t xml:space="preserve">9185 Chesapeake Dr, San Diego, CA 92123, USA</t>
  </si>
  <si>
    <t xml:space="preserve">(858) 408-6744</t>
  </si>
  <si>
    <t xml:space="preserve">https://radfordgaragedoor.com/</t>
  </si>
  <si>
    <t xml:space="preserve">4.9★ 213 reviews | established - may have marketing already | Score: -20</t>
  </si>
  <si>
    <t xml:space="preserve">San Diego Garage Doors</t>
  </si>
  <si>
    <t xml:space="preserve">4170 Cartagena Dr, San Diego, CA 92115, USA</t>
  </si>
  <si>
    <t xml:space="preserve">(619) 386-2521</t>
  </si>
  <si>
    <t xml:space="preserve">https://mysdgaragedoors.com/</t>
  </si>
  <si>
    <t xml:space="preserve">4.9★ 212 reviews | established - may have marketing already | Score: -20</t>
  </si>
  <si>
    <t xml:space="preserve">CM Precision Tree and Landscape Maintenance Inc</t>
  </si>
  <si>
    <t xml:space="preserve">4401 Twain Ave, San Diego, CA 92120, USA</t>
  </si>
  <si>
    <t xml:space="preserve">(619) 983-1030</t>
  </si>
  <si>
    <t xml:space="preserve">https://treeserviceinsandiego.com/?utm_source=google&amp;utm_medium=organic&amp;utm_campaign=gbp</t>
  </si>
  <si>
    <t xml:space="preserve">5★ 207 reviews | established - may have marketing already | Score: -20</t>
  </si>
  <si>
    <t xml:space="preserve">Appliance Service Center</t>
  </si>
  <si>
    <t xml:space="preserve">5005 Texas St Ste 485, San Diego, CA 92108, USA</t>
  </si>
  <si>
    <t xml:space="preserve">(619) 719-5005</t>
  </si>
  <si>
    <t xml:space="preserve">https://appliancerepair-sd.com/services/</t>
  </si>
  <si>
    <t xml:space="preserve">4.9★ 207 reviews | established - may have marketing already | Score: -20</t>
  </si>
  <si>
    <t xml:space="preserve">858 Appliance Repair</t>
  </si>
  <si>
    <t xml:space="preserve">3701 El Cajon Blvd, San Diego, CA 92105, USA</t>
  </si>
  <si>
    <t xml:space="preserve">(858) 277-5426</t>
  </si>
  <si>
    <t xml:space="preserve">https://www.858appliance.com/</t>
  </si>
  <si>
    <t xml:space="preserve">4.8★ 195 reviews | established - may have marketing already | Score: -20</t>
  </si>
  <si>
    <t xml:space="preserve">16950 Via De Santa Fe Suite 5060-104, Rancho Santa Fe, CA 92067, USA</t>
  </si>
  <si>
    <t xml:space="preserve">(619) 391-0353</t>
  </si>
  <si>
    <t xml:space="preserve">https://dive.prioritypools.com/gbprsf</t>
  </si>
  <si>
    <t xml:space="preserve">4.9★ 193 reviews | established - may have marketing already | Score: -20</t>
  </si>
  <si>
    <t xml:space="preserve">Rbeauty</t>
  </si>
  <si>
    <t xml:space="preserve">4966 El Cajon Blvd, San Diego, CA 92115, USA</t>
  </si>
  <si>
    <t xml:space="preserve">(619) 882-1340</t>
  </si>
  <si>
    <t xml:space="preserve">https://rbeautysd.com/</t>
  </si>
  <si>
    <t xml:space="preserve">Bowman's Garage - San Diego Auto Repair</t>
  </si>
  <si>
    <t xml:space="preserve">4622 College Ave, San Diego, CA 92115, USA</t>
  </si>
  <si>
    <t xml:space="preserve">(619) 582-5258</t>
  </si>
  <si>
    <t xml:space="preserve">https://bowmansgaragesd.com/</t>
  </si>
  <si>
    <t xml:space="preserve">4.8★ 192 reviews | established - may have marketing already | Score: -20</t>
  </si>
  <si>
    <t xml:space="preserve">LASHBAR La Mesa | East County Eyelash Extensions, Lash Lift, Brow Lamination, Threading &amp; Waxing</t>
  </si>
  <si>
    <t xml:space="preserve">5208 Jackson Dr #110, La Mesa, CA 91942, USA</t>
  </si>
  <si>
    <t xml:space="preserve">(619) 736-3617</t>
  </si>
  <si>
    <t xml:space="preserve">https://www.lashbar.com/lamesa</t>
  </si>
  <si>
    <t xml:space="preserve">5★ 185 reviews | established - may have marketing already | Score: -20</t>
  </si>
  <si>
    <t xml:space="preserve">Service Pro Electrical Inc.</t>
  </si>
  <si>
    <t xml:space="preserve">2358 University Ave #2082, San Diego, CA 92104, USA</t>
  </si>
  <si>
    <t xml:space="preserve">(619) 707-3008</t>
  </si>
  <si>
    <t xml:space="preserve">http://serviceproelectrical.com/</t>
  </si>
  <si>
    <t xml:space="preserve">4.9★ 184 reviews | established - may have marketing already | Score: -20</t>
  </si>
  <si>
    <t xml:space="preserve">Under The Rug Floorcare Carpet Cleaning San Diego</t>
  </si>
  <si>
    <t xml:space="preserve">5722 El Cajon Blvd, San Diego, CA 92115, USA</t>
  </si>
  <si>
    <t xml:space="preserve">(619) 567-1389</t>
  </si>
  <si>
    <t xml:space="preserve">http://www.undertherugfloorcare.com/?utm_campaign=gmb</t>
  </si>
  <si>
    <t xml:space="preserve">5★ 176 reviews | established - may have marketing already | Score: -20</t>
  </si>
  <si>
    <t xml:space="preserve">Queen nail and hair</t>
  </si>
  <si>
    <t xml:space="preserve">5114 El Cajon Blvd, San Diego, CA 92115, USA</t>
  </si>
  <si>
    <t xml:space="preserve">(619) 582-8888</t>
  </si>
  <si>
    <t xml:space="preserve">http://www.queennailsandhair.com/</t>
  </si>
  <si>
    <t xml:space="preserve">4.6★ 173 reviews | established - may have marketing already | Score: -20</t>
  </si>
  <si>
    <t xml:space="preserve">Pedro's Tree Service</t>
  </si>
  <si>
    <t xml:space="preserve">1105 W Chase Ave SPC 4, El Cajon, CA 92020, USA</t>
  </si>
  <si>
    <t xml:space="preserve">(619) 547-1379</t>
  </si>
  <si>
    <t xml:space="preserve">https://pedrostreeserviceca.com/?utm_campaign=gmb</t>
  </si>
  <si>
    <t xml:space="preserve">4.9★ 169 reviews | established - may have marketing already | Score: -20</t>
  </si>
  <si>
    <t xml:space="preserve">Procoat Painting San Diego</t>
  </si>
  <si>
    <t xml:space="preserve">9461 Grossmont Summit Dr Suite B, La Mesa, CA 91941, USA</t>
  </si>
  <si>
    <t xml:space="preserve">(619) 292-0121</t>
  </si>
  <si>
    <t xml:space="preserve">https://procoatpaintingsandiego.com/</t>
  </si>
  <si>
    <t xml:space="preserve">San Diego Moving and Packing Services</t>
  </si>
  <si>
    <t xml:space="preserve">5922 El Cajon Blvd Unit 5, San Diego, CA 92115, USA</t>
  </si>
  <si>
    <t xml:space="preserve">(858) 531-8343</t>
  </si>
  <si>
    <t xml:space="preserve">https://packingmoverca.com/?utm_campaign=gmb</t>
  </si>
  <si>
    <t xml:space="preserve">5★ 169 reviews | established - may have marketing already | Score: -20</t>
  </si>
  <si>
    <t xml:space="preserve">Razor Fresh</t>
  </si>
  <si>
    <t xml:space="preserve">5255 El Cajon Blvd, San Diego, CA 92115, USA</t>
  </si>
  <si>
    <t xml:space="preserve">(619) 677-7472</t>
  </si>
  <si>
    <t xml:space="preserve">https://razorfreshbarbershop.com/</t>
  </si>
  <si>
    <t xml:space="preserve">4.9★ 164 reviews | established - may have marketing already | Score: -20</t>
  </si>
  <si>
    <t xml:space="preserve">270 E Douglas Ave, El Cajon, CA 92020, USA</t>
  </si>
  <si>
    <t xml:space="preserve">(619) 317-1303</t>
  </si>
  <si>
    <t xml:space="preserve">https://www.friarsair.com/el-cajon-air-conditioning-services/</t>
  </si>
  <si>
    <t xml:space="preserve">5★ 163 reviews | established - may have marketing already | Score: -20</t>
  </si>
  <si>
    <t xml:space="preserve">Comfort Air Conditioning &amp; Heating</t>
  </si>
  <si>
    <t xml:space="preserve">7318 Conestoga Ct, San Diego, CA 92120, USA</t>
  </si>
  <si>
    <t xml:space="preserve">(858) 519-8003</t>
  </si>
  <si>
    <t xml:space="preserve">https://www.comfortacandheating.com/?utm_source=google&amp;utm_medium=organic&amp;utm_campaign=gbp</t>
  </si>
  <si>
    <t xml:space="preserve">5★ 161 reviews | established - may have marketing already | Score: -20</t>
  </si>
  <si>
    <t xml:space="preserve">Appliance Repair Local</t>
  </si>
  <si>
    <t xml:space="preserve">6328 Quillan St, San Diego, CA 92111, USA</t>
  </si>
  <si>
    <t xml:space="preserve">(619) 877-6655</t>
  </si>
  <si>
    <t xml:space="preserve">https://appliance-repair-local.com/</t>
  </si>
  <si>
    <t xml:space="preserve">4.9★ 156 reviews | established - may have marketing already | Score: -20</t>
  </si>
  <si>
    <t xml:space="preserve">McCall's Carpet Cleaning San Diego Tile And Grout</t>
  </si>
  <si>
    <t xml:space="preserve">1331 India St, San Diego, CA 92101, USA</t>
  </si>
  <si>
    <t xml:space="preserve">(619) 583-6411</t>
  </si>
  <si>
    <t xml:space="preserve">https://mccallscarpetcleaning.com/</t>
  </si>
  <si>
    <t xml:space="preserve">4.9★ 154 reviews | established - may have marketing already | Score: -20</t>
  </si>
  <si>
    <t xml:space="preserve">Magic Touch Cleaners</t>
  </si>
  <si>
    <t xml:space="preserve">4196 Adams Ave, San Diego, CA 92116, USA</t>
  </si>
  <si>
    <t xml:space="preserve">(619) 281-0031</t>
  </si>
  <si>
    <t xml:space="preserve">https://magictouchsd.com/</t>
  </si>
  <si>
    <t xml:space="preserve">4.6★ 151 reviews | established - may have marketing already | Score: -20</t>
  </si>
  <si>
    <t xml:space="preserve">Pep Boys Auto Service &amp; Tires</t>
  </si>
  <si>
    <t xml:space="preserve">6714 El Cajon Blvd, San Diego, CA 92115, USA</t>
  </si>
  <si>
    <t xml:space="preserve">(619) 354-7061</t>
  </si>
  <si>
    <t xml:space="preserve">https://www.pepboys.com/stores/ca/san-diego/6714-el-cajon-blvd?Cid=gbp_appt_AN:PB%7CPB:G%7CTT:GBP%7CCG:CONVERSION%7CCD:SERVICE</t>
  </si>
  <si>
    <t xml:space="preserve">4.2★ 679 reviews | established - may have marketing already | Score: -30</t>
  </si>
  <si>
    <t xml:space="preserve">Noah's Tires Shop</t>
  </si>
  <si>
    <t xml:space="preserve">4828 El Cajon Blvd, San Diego, CA 92115, USA</t>
  </si>
  <si>
    <t xml:space="preserve">(619) 391-9329</t>
  </si>
  <si>
    <t xml:space="preserve">https://noahstires.com/</t>
  </si>
  <si>
    <t xml:space="preserve">3.4★ 794 reviews | established - may have marketing already | Score: -50</t>
  </si>
  <si>
    <t xml:space="preserve">LEGEND</t>
  </si>
  <si>
    <t xml:space="preserve">Orange row = NO WEBSITE (hot lead, pitch first)</t>
  </si>
  <si>
    <t xml:space="preserve">Total prospects: 343 | No website: 72</t>
  </si>
  <si>
    <t xml:space="preserve">Sorted by score. Work top-down.</t>
  </si>
  <si>
    <t xml:space="preserve">Date</t>
  </si>
  <si>
    <t xml:space="preserve">Activity type</t>
  </si>
  <si>
    <t xml:space="preserve">Outcome</t>
  </si>
  <si>
    <t xml:space="preserve">Notes</t>
  </si>
  <si>
    <t xml:space="preserve">THE WALK-IN SCRIPT</t>
  </si>
  <si>
    <t xml:space="preserve">OPENER</t>
  </si>
  <si>
    <t xml:space="preserve">Hi, is the owner around? I had 3 specific ideas to help [business name] get more customers and wanted to share them with them directly. It'll take 3 minutes.</t>
  </si>
  <si>
    <t xml:space="preserve">IF OWNER NOT THERE</t>
  </si>
  <si>
    <t xml:space="preserve">When's a good time to catch them? I'll come back. Can I get their name and a good number for them?</t>
  </si>
  <si>
    <t xml:space="preserve">MAIN PITCH (once in front of owner)</t>
  </si>
  <si>
    <t xml:space="preserve">Hey, I'm Qudsi. I build websites for local businesses here in San Diego. Before walking in, I looked at your site/Google listing and noticed 3 things: [Specific fix 1] [Specific fix 2] [Specific fix 3]. I could fix all three and build you a site that actually brings calls in. My standard package is $1,800 and I deliver in a week. Can I pull up a site I built on my phone real quick?</t>
  </si>
  <si>
    <t xml:space="preserve">SHOW PORTFOLIO</t>
  </si>
  <si>
    <t xml:space="preserve">Open qudsisweets.com / qudsi.site / dateflo.com. Point out: fast load, mobile-friendly, clear call-to-action, easy to edit later.</t>
  </si>
  <si>
    <t xml:space="preserve">ASK FOR THE CLOSE</t>
  </si>
  <si>
    <t xml:space="preserve">What questions do you have? ... I can start Monday. Want to lock it in?</t>
  </si>
  <si>
    <t xml:space="preserve">HANDLE 'LET ME THINK'</t>
  </si>
  <si>
    <t xml:space="preserve">Totally fair. I'm booking 3 more clients this week. Can I text you tomorrow at 4 PM? (Get number)</t>
  </si>
  <si>
    <t xml:space="preserve">HANDLE 'TOO EXPENSIVE'</t>
  </si>
  <si>
    <t xml:space="preserve">$1,800 gets you the full 7-page build, GBP cleanup, and first month of care. If you want to start smaller, I have a 3-page starter at $900 that you can upgrade later. Which makes more sense for you?</t>
  </si>
  <si>
    <t xml:space="preserve">HANDLE 'I HAVE A WEBSITE ALREADY'</t>
  </si>
  <si>
    <t xml:space="preserve">Who built it? (listen) ... I took a look and here are 3 things that could be costing you calls right now. Can I share?</t>
  </si>
  <si>
    <t xml:space="preserve">HANDLE 'NOT INTERESTED'</t>
  </si>
  <si>
    <t xml:space="preserve">Totally understand. Mind if I ask, do you get most customers from referrals or from Google? (If Google: 'That's exactly where I help.' If referrals: 'Cool, a site could double your referrals since people check you before calling.')</t>
  </si>
  <si>
    <t xml:space="preserve">CLOSE THE LOOP</t>
  </si>
  <si>
    <t xml:space="preserve">Appreciate your time. If anything changes, here's my card. And if you know another business owner who might want a site, I pay $100 referral.</t>
  </si>
  <si>
    <t xml:space="preserve">PRE-WALK-IN HOMEWORK (do the night before for every prospect)</t>
  </si>
  <si>
    <t xml:space="preserve">1. Pull up their current website. Screenshot on mobile. Note: load speed, broken elements, missing CTAs.</t>
  </si>
  <si>
    <t xml:space="preserve">2. Open their Google Business Profile. Check: photos, review count, last post date, completeness.</t>
  </si>
  <si>
    <t xml:space="preserve">3. Search their category + zip code on Google. See who ranks above them. That's your 'your competitor X is beating you' talking point.</t>
  </si>
  <si>
    <t xml:space="preserve">4. Write down 3 specific fixes on a sticky note you can reference in the pitch.</t>
  </si>
  <si>
    <t xml:space="preserve">5. Note owner name if visible (Google, Facebook, website About page).</t>
  </si>
  <si>
    <t xml:space="preserve">QUDSI'S PRODUCTIZED PACKAGES</t>
  </si>
  <si>
    <t xml:space="preserve">Feature</t>
  </si>
  <si>
    <t xml:space="preserve">STARTER – $1,200</t>
  </si>
  <si>
    <t xml:space="preserve">STANDARD – $1,800 (DEFAULT)</t>
  </si>
  <si>
    <t xml:space="preserve">PREMIUM – $2,800</t>
  </si>
  <si>
    <t xml:space="preserve">Pages</t>
  </si>
  <si>
    <t xml:space="preserve">5</t>
  </si>
  <si>
    <t xml:space="preserve">7</t>
  </si>
  <si>
    <t xml:space="preserve">10+</t>
  </si>
  <si>
    <t xml:space="preserve">Mobile responsive</t>
  </si>
  <si>
    <t xml:space="preserve">Yes</t>
  </si>
  <si>
    <t xml:space="preserve">On-page SEO</t>
  </si>
  <si>
    <t xml:space="preserve">Basic</t>
  </si>
  <si>
    <t xml:space="preserve">Full</t>
  </si>
  <si>
    <t xml:space="preserve">Full + schema</t>
  </si>
  <si>
    <t xml:space="preserve">Contact form</t>
  </si>
  <si>
    <t xml:space="preserve">Click-to-call</t>
  </si>
  <si>
    <t xml:space="preserve">Google Business Profile setup</t>
  </si>
  <si>
    <t xml:space="preserve">Yes + weekly posts first month</t>
  </si>
  <si>
    <t xml:space="preserve">Booking / quote form</t>
  </si>
  <si>
    <t xml:space="preserve">No</t>
  </si>
  <si>
    <t xml:space="preserve">Yes (WPForms or Calendly)</t>
  </si>
  <si>
    <t xml:space="preserve">Advanced (multi-step)</t>
  </si>
  <si>
    <t xml:space="preserve">Review widget</t>
  </si>
  <si>
    <t xml:space="preserve">Blog setup</t>
  </si>
  <si>
    <t xml:space="preserve">1 seed post</t>
  </si>
  <si>
    <t xml:space="preserve">3 seed posts</t>
  </si>
  <si>
    <t xml:space="preserve">Google Analytics + Search Console</t>
  </si>
  <si>
    <t xml:space="preserve">Google Ads setup guide</t>
  </si>
  <si>
    <t xml:space="preserve">Yes (setup, not managed)</t>
  </si>
  <si>
    <t xml:space="preserve">Email capture + MailerLite integration</t>
  </si>
  <si>
    <t xml:space="preserve">Delivery time</t>
  </si>
  <si>
    <t xml:space="preserve">5-7 days</t>
  </si>
  <si>
    <t xml:space="preserve">7-10 days</t>
  </si>
  <si>
    <t xml:space="preserve">10-14 days</t>
  </si>
  <si>
    <t xml:space="preserve">Free bug-fix period</t>
  </si>
  <si>
    <t xml:space="preserve">30 days</t>
  </si>
  <si>
    <t xml:space="preserve">Monthly care plan (optional)</t>
  </si>
  <si>
    <t xml:space="preserve">$99/mo</t>
  </si>
  <si>
    <t xml:space="preserve">$199/mo</t>
  </si>
  <si>
    <t xml:space="preserve">Hourly rate after care plan</t>
  </si>
  <si>
    <t xml:space="preserve">$100/hr</t>
  </si>
  <si>
    <t xml:space="preserve">$125/hr</t>
  </si>
  <si>
    <t xml:space="preserve">Deposit required to start</t>
  </si>
  <si>
    <t xml:space="preserve">50% ($600)</t>
  </si>
  <si>
    <t xml:space="preserve">50% ($900)</t>
  </si>
  <si>
    <t xml:space="preserve">50% ($1,400)</t>
  </si>
  <si>
    <t xml:space="preserve">Balance due</t>
  </si>
  <si>
    <t xml:space="preserve">On launch</t>
  </si>
  <si>
    <t xml:space="preserve">16-DAY EXECUTION SCHEDULE (Apr 24 - May 10, 2026)</t>
  </si>
  <si>
    <t xml:space="preserve">Day</t>
  </si>
  <si>
    <t xml:space="preserve">Focus</t>
  </si>
  <si>
    <t xml:space="preserve">Target outputs</t>
  </si>
  <si>
    <t xml:space="preserve">Cumulative revenue target</t>
  </si>
  <si>
    <t xml:space="preserve">Fri Apr 24</t>
  </si>
  <si>
    <t xml:space="preserve">Setup</t>
  </si>
  <si>
    <t xml:space="preserve">Own service site live; proposal PDF template; 25-prospect list ready</t>
  </si>
  <si>
    <t xml:space="preserve">Sat Apr 25</t>
  </si>
  <si>
    <t xml:space="preserve">Research + route plan</t>
  </si>
  <si>
    <t xml:space="preserve">Do homework (3 fixes each) for 15 prospects; map route; business cards</t>
  </si>
  <si>
    <t xml:space="preserve">Sun Apr 26</t>
  </si>
  <si>
    <t xml:space="preserve">First pitches</t>
  </si>
  <si>
    <t xml:space="preserve">10 walk-ins done; 2+ follow-ups booked</t>
  </si>
  <si>
    <t xml:space="preserve">Mon Apr 27</t>
  </si>
  <si>
    <t xml:space="preserve">Pitch + follow</t>
  </si>
  <si>
    <t xml:space="preserve">8 walk-ins; text every Day 3 pitch; close attempt on warmest</t>
  </si>
  <si>
    <t xml:space="preserve">Tue Apr 28</t>
  </si>
  <si>
    <t xml:space="preserve">Close #1</t>
  </si>
  <si>
    <t xml:space="preserve">FIRST CLOSE. 50% deposit collected. Start build.</t>
  </si>
  <si>
    <t xml:space="preserve">Wed Apr 29</t>
  </si>
  <si>
    <t xml:space="preserve">Build + pitch</t>
  </si>
  <si>
    <t xml:space="preserve">Home page + services page done; 8 more walk-ins</t>
  </si>
  <si>
    <t xml:space="preserve">Thu Apr 30</t>
  </si>
  <si>
    <t xml:space="preserve">Full draft of site 1; 8 walk-ins; Close #2</t>
  </si>
  <si>
    <t xml:space="preserve">Fri May 1</t>
  </si>
  <si>
    <t xml:space="preserve">Close #2 + build</t>
  </si>
  <si>
    <t xml:space="preserve">Site 1 delivered; remaining 50% collected; site 2 started</t>
  </si>
  <si>
    <t xml:space="preserve">Sat May 2</t>
  </si>
  <si>
    <t xml:space="preserve">Volume pitch day</t>
  </si>
  <si>
    <t xml:space="preserve">15 walk-ins (weekend owners are in); Close #3</t>
  </si>
  <si>
    <t xml:space="preserve">Sun May 3</t>
  </si>
  <si>
    <t xml:space="preserve">Build + close #3</t>
  </si>
  <si>
    <t xml:space="preserve">Site 2 done; site 3 draft; 50% on #3 collected</t>
  </si>
  <si>
    <t xml:space="preserve">Mon May 4</t>
  </si>
  <si>
    <t xml:space="preserve">Deliver site 2, build 3</t>
  </si>
  <si>
    <t xml:space="preserve">Site 2 launched; remainder collected</t>
  </si>
  <si>
    <t xml:space="preserve">Tue May 5</t>
  </si>
  <si>
    <t xml:space="preserve">Close #4 + finish 3</t>
  </si>
  <si>
    <t xml:space="preserve">Site 3 delivered; Close #4</t>
  </si>
  <si>
    <t xml:space="preserve">Wed May 6</t>
  </si>
  <si>
    <t xml:space="preserve">Build #4</t>
  </si>
  <si>
    <t xml:space="preserve">#4 draft ready; remainder from 3 collected</t>
  </si>
  <si>
    <t xml:space="preserve">Thu May 7</t>
  </si>
  <si>
    <t xml:space="preserve">Build + pitch care plans</t>
  </si>
  <si>
    <t xml:space="preserve">All active clients pitched on $99/mo care</t>
  </si>
  <si>
    <t xml:space="preserve">Fri May 8</t>
  </si>
  <si>
    <t xml:space="preserve">Deliver site 4</t>
  </si>
  <si>
    <t xml:space="preserve">Site 4 launched; 50% remainder collected</t>
  </si>
  <si>
    <t xml:space="preserve">Sat May 9</t>
  </si>
  <si>
    <t xml:space="preserve">Buffer / contingency</t>
  </si>
  <si>
    <t xml:space="preserve">Collect any outstanding; wrap up</t>
  </si>
  <si>
    <t xml:space="preserve">-</t>
  </si>
  <si>
    <t xml:space="preserve">Sun May 10</t>
  </si>
  <si>
    <t xml:space="preserve">DEADLINE</t>
  </si>
  <si>
    <t xml:space="preserve">Final totals. Celebrate or pivot to week 3.</t>
  </si>
  <si>
    <t xml:space="preserve">GOAL</t>
  </si>
  <si>
    <t xml:space="preserve">DAY 17+ : THE REAL BUSINESS (RECURRING + LEAD GEN)</t>
  </si>
  <si>
    <t xml:space="preserve">Play</t>
  </si>
  <si>
    <t xml:space="preserve">Setup effort</t>
  </si>
  <si>
    <t xml:space="preserve">Timeline to revenue</t>
  </si>
  <si>
    <t xml:space="preserve">Monthly potential</t>
  </si>
  <si>
    <t xml:space="preserve">Monthly care plan retainers ($99-$199/mo)</t>
  </si>
  <si>
    <t xml:space="preserve">Already sold at close</t>
  </si>
  <si>
    <t xml:space="preserve">Immediate</t>
  </si>
  <si>
    <t xml:space="preserve">$99-$199 per client</t>
  </si>
  <si>
    <t xml:space="preserve">Google Business Profile management ($200-$400/mo)</t>
  </si>
  <si>
    <t xml:space="preserve">1 hr onboarding / client</t>
  </si>
  <si>
    <t xml:space="preserve">Week 1</t>
  </si>
  <si>
    <t xml:space="preserve">$200-$400 per client</t>
  </si>
  <si>
    <t xml:space="preserve">Basic Google Ads setup ($500 one-time + $150/mo mgmt)</t>
  </si>
  <si>
    <t xml:space="preserve">2-3 hrs setup</t>
  </si>
  <si>
    <t xml:space="preserve">$150 per client recurring</t>
  </si>
  <si>
    <t xml:space="preserve">AI-assisted blog posts ($300/mo for 4 posts)</t>
  </si>
  <si>
    <t xml:space="preserve">2 hrs/month per client</t>
  </si>
  <si>
    <t xml:space="preserve">$300 per client</t>
  </si>
  <si>
    <t xml:space="preserve">Social media management ($300-$500/mo, 8-12 posts)</t>
  </si>
  <si>
    <t xml:space="preserve">3-4 hrs/month per client</t>
  </si>
  <si>
    <t xml:space="preserve">Week 2</t>
  </si>
  <si>
    <t xml:space="preserve">$300-$500 per client</t>
  </si>
  <si>
    <t xml:space="preserve">Pay-per-call lead gen site (water damage / emergency plumbing)</t>
  </si>
  <si>
    <t xml:space="preserve">20-40 hrs initial build + SEO</t>
  </si>
  <si>
    <t xml:space="preserve">60-120 days</t>
  </si>
  <si>
    <t xml:space="preserve">$500-$3000 per site once ranked</t>
  </si>
  <si>
    <t xml:space="preserve">Niche rank-and-rent site leased to one contractor</t>
  </si>
  <si>
    <t xml:space="preserve">Similar to above</t>
  </si>
  <si>
    <t xml:space="preserve">$800-$1500 per site</t>
  </si>
  <si>
    <t xml:space="preserve">SaaS referral arbitrage (Jobber, Housecall Pro, ServiceTitan)</t>
  </si>
  <si>
    <t xml:space="preserve">Mention at close</t>
  </si>
  <si>
    <t xml:space="preserve">Immediate on signup</t>
  </si>
  <si>
    <t xml:space="preserve">$100-$500 per referral</t>
  </si>
  <si>
    <t xml:space="preserve">Payment processor referrals (Stripe, Square)</t>
  </si>
  <si>
    <t xml:space="preserve">$50-$100 per referral</t>
  </si>
  <si>
    <t xml:space="preserve">Website migration service ($500-$1,500 flat)</t>
  </si>
  <si>
    <t xml:space="preserve">4-8 hrs per job</t>
  </si>
  <si>
    <t xml:space="preserve">$500-$1500 per job</t>
  </si>
  <si>
    <t xml:space="preserve">HOW TO FILL THIS PIPELINE IN 90 MINUTES</t>
  </si>
  <si>
    <t xml:space="preserve">STEP 1 (15 min)</t>
  </si>
  <si>
    <t xml:space="preserve">Open Yelp. Search each Tier 1 category + '92115' (e.g., 'plumber 92115'). Sort by review count DESC. Skip anything &gt;100 reviews (too big) or &lt;4 stars (angry customers). Copy 5 names into Pipeline per category.</t>
  </si>
  <si>
    <t xml:space="preserve">STEP 2 (15 min)</t>
  </si>
  <si>
    <t xml:space="preserve">Open Google Maps. Search same terms. Look for pins WITHOUT a website link. Those are gold - they've never hired anyone for digital. Copy names into Pipeline.</t>
  </si>
  <si>
    <t xml:space="preserve">STEP 3 (15 min)</t>
  </si>
  <si>
    <t xml:space="preserve">Drive El Cajon Blvd between 54th and 73rd. Photograph work trucks with phone numbers but NO URL painted on them. Solo operators. Call them Monday.</t>
  </si>
  <si>
    <t xml:space="preserve">STEP 4 (30 min)</t>
  </si>
  <si>
    <t xml:space="preserve">For each top 15 prospect, do the homework: screenshot their site (or note 'no site'), check their GBP, note 3 fixes. Enter into Pipeline 'Pitch notes' column.</t>
  </si>
  <si>
    <t xml:space="preserve">STEP 5 (15 min)</t>
  </si>
  <si>
    <t xml:space="preserve">Pick your Saturday route. 10-12 locations within 2 miles of each other. Plan for 2-5 PM window.</t>
  </si>
  <si>
    <t xml:space="preserve">FAST-PATH FOR SEARCH</t>
  </si>
  <si>
    <t xml:space="preserve">Yelp direct: https://www.yelp.com/search?find_desc=plumber&amp;find_loc=92115</t>
  </si>
  <si>
    <t xml:space="preserve">Google Maps direct: https://www.google.com/maps/search/plumber+92115</t>
  </si>
  <si>
    <t xml:space="preserve">Facebook Marketplace Services: https://www.facebook.com/marketplace/sandiego/services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</si>
</sst>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\$#,##0"/>
    <numFmt numFmtId="168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DE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CFE2F3"/>
        </patternFill>
      </fill>
    </dxf>
    <dxf>
      <font>
        <name val="Arial"/>
        <charset val="1"/>
        <family val="0"/>
        <color rgb="FF990000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D9EAD3"/>
      <rgbColor rgb="FFFF99CC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3" min="3" style="1" width="4"/>
    <col collapsed="false" customWidth="true" hidden="false" outlineLevel="0" max="4" min="4" style="1" width="40"/>
    <col collapsed="false" customWidth="true" hidden="false" outlineLevel="0" max="6" min="5" style="1" width="12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</v>
      </c>
      <c r="B3" s="4" t="s">
        <v>2</v>
      </c>
      <c r="D3" s="3" t="s">
        <v>3</v>
      </c>
      <c r="E3" s="4" t="n">
        <v>10</v>
      </c>
    </row>
    <row r="4" customFormat="false" ht="15" hidden="false" customHeight="true" outlineLevel="0" collapsed="false">
      <c r="A4" s="3" t="s">
        <v>4</v>
      </c>
      <c r="B4" s="4" t="s">
        <v>5</v>
      </c>
      <c r="D4" s="3" t="s">
        <v>6</v>
      </c>
      <c r="E4" s="4" t="n">
        <f aca="true">COUNTIFS(Activity!B:B,TODAY())</f>
        <v>0</v>
      </c>
    </row>
    <row r="5" customFormat="false" ht="15" hidden="false" customHeight="true" outlineLevel="0" collapsed="false">
      <c r="A5" s="3" t="s">
        <v>7</v>
      </c>
      <c r="B5" s="4" t="n">
        <f aca="true">MAX(0, DATE(2026,5,10) - TODAY())</f>
        <v>16</v>
      </c>
      <c r="D5" s="3" t="s">
        <v>8</v>
      </c>
      <c r="E5" s="4" t="n">
        <f aca="true">COUNTIFS(Activity!B:B,"&gt;="&amp;(TODAY()-WEEKDAY(TODAY(),2)+1), Activity!B:B,"&lt;="&amp;(TODAY()-WEEKDAY(TODAY(),2)+7))</f>
        <v>0</v>
      </c>
    </row>
    <row r="6" customFormat="false" ht="15" hidden="false" customHeight="true" outlineLevel="0" collapsed="false">
      <c r="A6" s="3" t="s">
        <v>9</v>
      </c>
      <c r="B6" s="5" t="n">
        <f aca="false">SUMIF(Pipeline!G:G, "Closed Won", Pipeline!H:H)</f>
        <v>0</v>
      </c>
      <c r="D6" s="3" t="s">
        <v>10</v>
      </c>
      <c r="E6" s="4" t="n">
        <f aca="false">COUNTIF(Pipeline!G:G,"Appt booked")</f>
        <v>0</v>
      </c>
    </row>
    <row r="7" customFormat="false" ht="15" hidden="false" customHeight="true" outlineLevel="0" collapsed="false">
      <c r="A7" s="3" t="s">
        <v>11</v>
      </c>
      <c r="B7" s="5" t="n">
        <f aca="false">SUMIF(Pipeline!G:G, "Closed Won", Pipeline!I:I)+SUMIF(Pipeline!G:G, "Delivered", Pipeline!I:I)</f>
        <v>0</v>
      </c>
      <c r="D7" s="3" t="s">
        <v>12</v>
      </c>
      <c r="E7" s="4" t="n">
        <f aca="false">COUNTIF(Pipeline!G:G,"Proposal sent")</f>
        <v>0</v>
      </c>
    </row>
    <row r="8" customFormat="false" ht="15" hidden="false" customHeight="true" outlineLevel="0" collapsed="false">
      <c r="A8" s="3" t="s">
        <v>13</v>
      </c>
      <c r="B8" s="5" t="n">
        <f aca="false">MAX(0, 6000 - B7)</f>
        <v>6000</v>
      </c>
    </row>
    <row r="9" customFormat="false" ht="15" hidden="false" customHeight="true" outlineLevel="0" collapsed="false">
      <c r="A9" s="3" t="s">
        <v>14</v>
      </c>
      <c r="B9" s="4" t="n">
        <f aca="false">COUNTIF(Pipeline!G:G, "&lt;&gt;Not contacted")-COUNTIF(Pipeline!G:G, "")</f>
        <v>1</v>
      </c>
      <c r="D9" s="6" t="s">
        <v>15</v>
      </c>
      <c r="E9" s="7" t="n">
        <v>343</v>
      </c>
    </row>
    <row r="10" customFormat="false" ht="15" hidden="false" customHeight="true" outlineLevel="0" collapsed="false">
      <c r="A10" s="3" t="s">
        <v>16</v>
      </c>
      <c r="B10" s="8" t="n">
        <f aca="false">IFERROR(COUNTIF(Pipeline!G:G,"Closed Won")/B9, 0)</f>
        <v>0</v>
      </c>
      <c r="D10" s="6" t="s">
        <v>17</v>
      </c>
      <c r="E10" s="7" t="n">
        <v>72</v>
      </c>
    </row>
    <row r="11" customFormat="false" ht="15" hidden="false" customHeight="true" outlineLevel="0" collapsed="false">
      <c r="A11" s="3" t="s">
        <v>18</v>
      </c>
      <c r="B11" s="5" t="n">
        <f aca="false">IFERROR(AVERAGEIF(Pipeline!G:G,"Closed Won",Pipeline!H:H), 0)</f>
        <v>0</v>
      </c>
    </row>
    <row r="13" customFormat="false" ht="15" hidden="false" customHeight="true" outlineLevel="0" collapsed="false">
      <c r="A13" s="9" t="s">
        <v>19</v>
      </c>
      <c r="B13" s="9"/>
      <c r="C13" s="9"/>
      <c r="D13" s="9"/>
      <c r="E13" s="9"/>
      <c r="F13" s="9"/>
    </row>
    <row r="14" customFormat="false" ht="15" hidden="false" customHeight="true" outlineLevel="0" collapsed="false">
      <c r="A14" s="10" t="s">
        <v>20</v>
      </c>
      <c r="B14" s="10"/>
      <c r="C14" s="10"/>
      <c r="D14" s="10"/>
      <c r="E14" s="10"/>
      <c r="F14" s="10"/>
    </row>
    <row r="15" customFormat="false" ht="15" hidden="false" customHeight="true" outlineLevel="0" collapsed="false">
      <c r="A15" s="10" t="s">
        <v>21</v>
      </c>
      <c r="B15" s="10"/>
      <c r="C15" s="10"/>
      <c r="D15" s="10"/>
      <c r="E15" s="10"/>
      <c r="F15" s="10"/>
    </row>
    <row r="16" customFormat="false" ht="15" hidden="false" customHeight="true" outlineLevel="0" collapsed="false">
      <c r="A16" s="10" t="s">
        <v>22</v>
      </c>
      <c r="B16" s="10"/>
      <c r="C16" s="10"/>
      <c r="D16" s="10"/>
      <c r="E16" s="10"/>
      <c r="F16" s="10"/>
    </row>
    <row r="17" customFormat="false" ht="15" hidden="false" customHeight="true" outlineLevel="0" collapsed="false">
      <c r="A17" s="10" t="s">
        <v>23</v>
      </c>
      <c r="B17" s="10"/>
      <c r="C17" s="10"/>
      <c r="D17" s="10"/>
      <c r="E17" s="10"/>
      <c r="F17" s="10"/>
    </row>
  </sheetData>
  <mergeCells count="6">
    <mergeCell ref="A1:F1"/>
    <mergeCell ref="A13:F13"/>
    <mergeCell ref="A14:F14"/>
    <mergeCell ref="A15:F15"/>
    <mergeCell ref="A16:F16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14"/>
    <col collapsed="false" customWidth="true" hidden="false" outlineLevel="0" max="6" min="6" style="1" width="28"/>
    <col collapsed="false" customWidth="true" hidden="false" outlineLevel="0" max="7" min="7" style="1" width="18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45"/>
    <col collapsed="false" customWidth="true" hidden="false" outlineLevel="0" max="12" min="11" style="1" width="18"/>
    <col collapsed="false" customWidth="true" hidden="false" outlineLevel="0" max="13" min="13" style="1" width="20"/>
    <col collapsed="false" customWidth="true" hidden="false" outlineLevel="0" max="14" min="14" style="1" width="14"/>
  </cols>
  <sheetData>
    <row r="1" customFormat="false" ht="26.25" hidden="false" customHeight="true" outlineLevel="0" collapsed="false">
      <c r="A1" s="11" t="s">
        <v>24</v>
      </c>
      <c r="B1" s="11" t="s">
        <v>25</v>
      </c>
      <c r="C1" s="11" t="s">
        <v>26</v>
      </c>
      <c r="D1" s="11" t="s">
        <v>27</v>
      </c>
      <c r="E1" s="11" t="s">
        <v>28</v>
      </c>
      <c r="F1" s="11" t="s">
        <v>29</v>
      </c>
      <c r="G1" s="11" t="s">
        <v>30</v>
      </c>
      <c r="H1" s="11" t="s">
        <v>31</v>
      </c>
      <c r="I1" s="11" t="s">
        <v>32</v>
      </c>
      <c r="J1" s="11" t="s">
        <v>33</v>
      </c>
      <c r="K1" s="11" t="s">
        <v>34</v>
      </c>
      <c r="L1" s="11" t="s">
        <v>35</v>
      </c>
      <c r="M1" s="11" t="s">
        <v>36</v>
      </c>
      <c r="N1" s="11" t="s">
        <v>37</v>
      </c>
    </row>
    <row r="2" customFormat="false" ht="26.25" hidden="false" customHeight="true" outlineLevel="0" collapsed="false">
      <c r="A2" s="12" t="n">
        <v>1</v>
      </c>
      <c r="B2" s="13" t="s">
        <v>38</v>
      </c>
      <c r="C2" s="13" t="s">
        <v>39</v>
      </c>
      <c r="D2" s="13" t="s">
        <v>40</v>
      </c>
      <c r="E2" s="13" t="s">
        <v>41</v>
      </c>
      <c r="F2" s="13" t="s">
        <v>42</v>
      </c>
      <c r="G2" s="13" t="s">
        <v>43</v>
      </c>
      <c r="H2" s="14" t="n">
        <v>1800</v>
      </c>
      <c r="I2" s="14" t="n">
        <v>0</v>
      </c>
      <c r="J2" s="13" t="s">
        <v>44</v>
      </c>
      <c r="K2" s="13"/>
      <c r="L2" s="13" t="s">
        <v>45</v>
      </c>
      <c r="M2" s="13" t="s">
        <v>46</v>
      </c>
      <c r="N2" s="13"/>
      <c r="O2" s="15"/>
      <c r="P2" s="15"/>
      <c r="Q2" s="15"/>
      <c r="R2" s="15"/>
      <c r="S2" s="15"/>
    </row>
    <row r="3" customFormat="false" ht="26.25" hidden="false" customHeight="true" outlineLevel="0" collapsed="false">
      <c r="A3" s="12" t="n">
        <v>2</v>
      </c>
      <c r="B3" s="13" t="s">
        <v>47</v>
      </c>
      <c r="C3" s="13" t="s">
        <v>48</v>
      </c>
      <c r="D3" s="13" t="s">
        <v>49</v>
      </c>
      <c r="E3" s="13" t="s">
        <v>50</v>
      </c>
      <c r="F3" s="13" t="s">
        <v>51</v>
      </c>
      <c r="G3" s="13" t="s">
        <v>43</v>
      </c>
      <c r="H3" s="14" t="n">
        <v>1500</v>
      </c>
      <c r="I3" s="14" t="n">
        <v>0</v>
      </c>
      <c r="J3" s="13" t="s">
        <v>52</v>
      </c>
      <c r="K3" s="13"/>
      <c r="L3" s="13" t="s">
        <v>53</v>
      </c>
      <c r="M3" s="13" t="s">
        <v>46</v>
      </c>
      <c r="N3" s="13"/>
      <c r="O3" s="15"/>
      <c r="P3" s="15"/>
      <c r="Q3" s="15"/>
      <c r="R3" s="15"/>
      <c r="S3" s="15"/>
    </row>
    <row r="4" customFormat="false" ht="15" hidden="false" customHeight="true" outlineLevel="0" collapsed="false">
      <c r="A4" s="12" t="n">
        <v>3</v>
      </c>
      <c r="B4" s="13" t="s">
        <v>54</v>
      </c>
      <c r="C4" s="13" t="s">
        <v>55</v>
      </c>
      <c r="D4" s="13" t="s">
        <v>56</v>
      </c>
      <c r="E4" s="13" t="s">
        <v>57</v>
      </c>
      <c r="F4" s="13" t="s">
        <v>58</v>
      </c>
      <c r="G4" s="13" t="s">
        <v>43</v>
      </c>
      <c r="H4" s="14" t="n">
        <v>1500</v>
      </c>
      <c r="I4" s="14" t="n">
        <v>0</v>
      </c>
      <c r="J4" s="13" t="s">
        <v>59</v>
      </c>
      <c r="K4" s="13"/>
      <c r="L4" s="13" t="s">
        <v>53</v>
      </c>
      <c r="M4" s="13" t="s">
        <v>46</v>
      </c>
      <c r="N4" s="13"/>
      <c r="O4" s="15"/>
      <c r="P4" s="15"/>
      <c r="Q4" s="15"/>
      <c r="R4" s="15"/>
      <c r="S4" s="15"/>
    </row>
    <row r="5" customFormat="false" ht="15" hidden="false" customHeight="true" outlineLevel="0" collapsed="false">
      <c r="A5" s="12" t="n">
        <v>4</v>
      </c>
      <c r="B5" s="13" t="s">
        <v>60</v>
      </c>
      <c r="C5" s="13" t="s">
        <v>61</v>
      </c>
      <c r="D5" s="13" t="s">
        <v>62</v>
      </c>
      <c r="E5" s="13" t="s">
        <v>63</v>
      </c>
      <c r="F5" s="13" t="s">
        <v>64</v>
      </c>
      <c r="G5" s="13" t="s">
        <v>43</v>
      </c>
      <c r="H5" s="14" t="n">
        <v>1500</v>
      </c>
      <c r="I5" s="14" t="n">
        <v>0</v>
      </c>
      <c r="J5" s="13" t="s">
        <v>65</v>
      </c>
      <c r="K5" s="13"/>
      <c r="L5" s="13" t="s">
        <v>53</v>
      </c>
      <c r="M5" s="13" t="s">
        <v>46</v>
      </c>
      <c r="N5" s="13"/>
      <c r="O5" s="15"/>
      <c r="P5" s="15"/>
      <c r="Q5" s="15"/>
      <c r="R5" s="15"/>
      <c r="S5" s="15"/>
    </row>
    <row r="6" customFormat="false" ht="15" hidden="false" customHeight="true" outlineLevel="0" collapsed="false">
      <c r="A6" s="12" t="n">
        <v>5</v>
      </c>
      <c r="B6" s="13" t="s">
        <v>66</v>
      </c>
      <c r="C6" s="13" t="s">
        <v>48</v>
      </c>
      <c r="D6" s="13" t="s">
        <v>67</v>
      </c>
      <c r="E6" s="13" t="s">
        <v>68</v>
      </c>
      <c r="F6" s="13" t="s">
        <v>69</v>
      </c>
      <c r="G6" s="13" t="s">
        <v>43</v>
      </c>
      <c r="H6" s="14" t="n">
        <v>1500</v>
      </c>
      <c r="I6" s="14" t="n">
        <v>0</v>
      </c>
      <c r="J6" s="13" t="s">
        <v>70</v>
      </c>
      <c r="K6" s="13"/>
      <c r="L6" s="13" t="s">
        <v>53</v>
      </c>
      <c r="M6" s="13" t="s">
        <v>46</v>
      </c>
      <c r="N6" s="13"/>
      <c r="O6" s="15"/>
      <c r="P6" s="15"/>
      <c r="Q6" s="15"/>
      <c r="R6" s="15"/>
      <c r="S6" s="15"/>
    </row>
    <row r="7" customFormat="false" ht="26.25" hidden="false" customHeight="true" outlineLevel="0" collapsed="false">
      <c r="A7" s="12" t="n">
        <v>6</v>
      </c>
      <c r="B7" s="13" t="s">
        <v>71</v>
      </c>
      <c r="C7" s="13" t="s">
        <v>55</v>
      </c>
      <c r="D7" s="13" t="s">
        <v>72</v>
      </c>
      <c r="E7" s="13"/>
      <c r="F7" s="13" t="s">
        <v>73</v>
      </c>
      <c r="G7" s="13" t="s">
        <v>43</v>
      </c>
      <c r="H7" s="14" t="n">
        <v>1500</v>
      </c>
      <c r="I7" s="14" t="n">
        <v>0</v>
      </c>
      <c r="J7" s="13" t="s">
        <v>74</v>
      </c>
      <c r="K7" s="13"/>
      <c r="L7" s="13" t="s">
        <v>53</v>
      </c>
      <c r="M7" s="13" t="s">
        <v>46</v>
      </c>
      <c r="N7" s="13"/>
      <c r="O7" s="15"/>
      <c r="P7" s="15"/>
      <c r="Q7" s="15"/>
      <c r="R7" s="15"/>
      <c r="S7" s="15"/>
    </row>
    <row r="8" customFormat="false" ht="15" hidden="false" customHeight="true" outlineLevel="0" collapsed="false">
      <c r="A8" s="12" t="n">
        <v>7</v>
      </c>
      <c r="B8" s="13" t="s">
        <v>75</v>
      </c>
      <c r="C8" s="13" t="s">
        <v>61</v>
      </c>
      <c r="D8" s="13" t="s">
        <v>76</v>
      </c>
      <c r="E8" s="13" t="s">
        <v>77</v>
      </c>
      <c r="F8" s="13" t="s">
        <v>78</v>
      </c>
      <c r="G8" s="13" t="s">
        <v>43</v>
      </c>
      <c r="H8" s="14" t="n">
        <v>1500</v>
      </c>
      <c r="I8" s="14" t="n">
        <v>0</v>
      </c>
      <c r="J8" s="13" t="s">
        <v>79</v>
      </c>
      <c r="K8" s="13"/>
      <c r="L8" s="13" t="s">
        <v>53</v>
      </c>
      <c r="M8" s="13" t="s">
        <v>46</v>
      </c>
      <c r="N8" s="13"/>
      <c r="O8" s="15"/>
      <c r="P8" s="15"/>
      <c r="Q8" s="15"/>
      <c r="R8" s="15"/>
      <c r="S8" s="15"/>
    </row>
    <row r="9" customFormat="false" ht="39" hidden="false" customHeight="true" outlineLevel="0" collapsed="false">
      <c r="A9" s="12" t="n">
        <v>8</v>
      </c>
      <c r="B9" s="13" t="s">
        <v>80</v>
      </c>
      <c r="C9" s="13" t="s">
        <v>81</v>
      </c>
      <c r="D9" s="13" t="s">
        <v>82</v>
      </c>
      <c r="E9" s="13" t="s">
        <v>83</v>
      </c>
      <c r="F9" s="13" t="s">
        <v>84</v>
      </c>
      <c r="G9" s="13" t="s">
        <v>43</v>
      </c>
      <c r="H9" s="14" t="n">
        <v>1500</v>
      </c>
      <c r="I9" s="14" t="n">
        <v>0</v>
      </c>
      <c r="J9" s="13" t="s">
        <v>85</v>
      </c>
      <c r="K9" s="13"/>
      <c r="L9" s="13" t="s">
        <v>53</v>
      </c>
      <c r="M9" s="13" t="s">
        <v>46</v>
      </c>
      <c r="N9" s="13"/>
      <c r="O9" s="15"/>
      <c r="P9" s="15"/>
      <c r="Q9" s="15"/>
      <c r="R9" s="15"/>
      <c r="S9" s="15"/>
    </row>
    <row r="10" customFormat="false" ht="39" hidden="false" customHeight="true" outlineLevel="0" collapsed="false">
      <c r="A10" s="12" t="n">
        <v>9</v>
      </c>
      <c r="B10" s="13" t="s">
        <v>86</v>
      </c>
      <c r="C10" s="13" t="s">
        <v>87</v>
      </c>
      <c r="D10" s="13" t="s">
        <v>88</v>
      </c>
      <c r="E10" s="13" t="s">
        <v>89</v>
      </c>
      <c r="F10" s="13" t="s">
        <v>90</v>
      </c>
      <c r="G10" s="13" t="s">
        <v>43</v>
      </c>
      <c r="H10" s="14" t="n">
        <v>1500</v>
      </c>
      <c r="I10" s="14" t="n">
        <v>0</v>
      </c>
      <c r="J10" s="13" t="s">
        <v>91</v>
      </c>
      <c r="K10" s="13"/>
      <c r="L10" s="13" t="s">
        <v>53</v>
      </c>
      <c r="M10" s="13" t="s">
        <v>46</v>
      </c>
      <c r="N10" s="13"/>
      <c r="O10" s="15"/>
      <c r="P10" s="15"/>
      <c r="Q10" s="15"/>
      <c r="R10" s="15"/>
      <c r="S10" s="15"/>
    </row>
    <row r="11" customFormat="false" ht="39" hidden="false" customHeight="true" outlineLevel="0" collapsed="false">
      <c r="A11" s="12" t="n">
        <v>10</v>
      </c>
      <c r="B11" s="13" t="s">
        <v>92</v>
      </c>
      <c r="C11" s="13" t="s">
        <v>93</v>
      </c>
      <c r="D11" s="13" t="s">
        <v>94</v>
      </c>
      <c r="E11" s="13" t="s">
        <v>95</v>
      </c>
      <c r="F11" s="13" t="s">
        <v>96</v>
      </c>
      <c r="G11" s="13" t="s">
        <v>43</v>
      </c>
      <c r="H11" s="14" t="n">
        <v>1500</v>
      </c>
      <c r="I11" s="14" t="n">
        <v>0</v>
      </c>
      <c r="J11" s="13" t="s">
        <v>97</v>
      </c>
      <c r="K11" s="13"/>
      <c r="L11" s="13" t="s">
        <v>53</v>
      </c>
      <c r="M11" s="13" t="s">
        <v>46</v>
      </c>
      <c r="N11" s="13"/>
      <c r="O11" s="15"/>
      <c r="P11" s="15"/>
      <c r="Q11" s="15"/>
      <c r="R11" s="15"/>
      <c r="S11" s="15"/>
    </row>
    <row r="12" customFormat="false" ht="39" hidden="false" customHeight="true" outlineLevel="0" collapsed="false">
      <c r="A12" s="12" t="n">
        <v>11</v>
      </c>
      <c r="B12" s="13" t="s">
        <v>98</v>
      </c>
      <c r="C12" s="13" t="s">
        <v>93</v>
      </c>
      <c r="D12" s="13" t="s">
        <v>99</v>
      </c>
      <c r="E12" s="13" t="s">
        <v>100</v>
      </c>
      <c r="F12" s="13" t="s">
        <v>101</v>
      </c>
      <c r="G12" s="13" t="s">
        <v>43</v>
      </c>
      <c r="H12" s="14" t="n">
        <v>1500</v>
      </c>
      <c r="I12" s="14" t="n">
        <v>0</v>
      </c>
      <c r="J12" s="13" t="s">
        <v>102</v>
      </c>
      <c r="K12" s="13"/>
      <c r="L12" s="13" t="s">
        <v>53</v>
      </c>
      <c r="M12" s="13" t="s">
        <v>46</v>
      </c>
      <c r="N12" s="13"/>
      <c r="O12" s="15"/>
      <c r="P12" s="15"/>
      <c r="Q12" s="15"/>
      <c r="R12" s="15"/>
      <c r="S12" s="15"/>
    </row>
    <row r="13" customFormat="false" ht="39" hidden="false" customHeight="true" outlineLevel="0" collapsed="false">
      <c r="A13" s="12" t="n">
        <v>12</v>
      </c>
      <c r="B13" s="13" t="s">
        <v>103</v>
      </c>
      <c r="C13" s="13" t="s">
        <v>61</v>
      </c>
      <c r="D13" s="13" t="s">
        <v>104</v>
      </c>
      <c r="E13" s="13" t="s">
        <v>105</v>
      </c>
      <c r="F13" s="13" t="s">
        <v>106</v>
      </c>
      <c r="G13" s="13" t="s">
        <v>43</v>
      </c>
      <c r="H13" s="14" t="n">
        <v>1500</v>
      </c>
      <c r="I13" s="14" t="n">
        <v>0</v>
      </c>
      <c r="J13" s="13" t="s">
        <v>107</v>
      </c>
      <c r="K13" s="13"/>
      <c r="L13" s="13" t="s">
        <v>53</v>
      </c>
      <c r="M13" s="13" t="s">
        <v>46</v>
      </c>
      <c r="N13" s="13"/>
      <c r="O13" s="15"/>
      <c r="P13" s="15"/>
      <c r="Q13" s="15"/>
      <c r="R13" s="15"/>
      <c r="S13" s="15"/>
    </row>
    <row r="14" customFormat="false" ht="39" hidden="false" customHeight="true" outlineLevel="0" collapsed="false">
      <c r="A14" s="12" t="n">
        <v>13</v>
      </c>
      <c r="B14" s="13" t="s">
        <v>108</v>
      </c>
      <c r="C14" s="13" t="s">
        <v>109</v>
      </c>
      <c r="D14" s="13" t="s">
        <v>110</v>
      </c>
      <c r="E14" s="13" t="s">
        <v>111</v>
      </c>
      <c r="F14" s="13" t="s">
        <v>112</v>
      </c>
      <c r="G14" s="13" t="s">
        <v>43</v>
      </c>
      <c r="H14" s="14" t="n">
        <v>1800</v>
      </c>
      <c r="I14" s="14" t="n">
        <v>0</v>
      </c>
      <c r="J14" s="13" t="s">
        <v>113</v>
      </c>
      <c r="K14" s="13"/>
      <c r="L14" s="13" t="s">
        <v>45</v>
      </c>
      <c r="M14" s="13" t="s">
        <v>46</v>
      </c>
      <c r="N14" s="13"/>
      <c r="O14" s="15"/>
      <c r="P14" s="15"/>
      <c r="Q14" s="15"/>
      <c r="R14" s="15"/>
      <c r="S14" s="15"/>
    </row>
    <row r="15" customFormat="false" ht="39" hidden="false" customHeight="true" outlineLevel="0" collapsed="false">
      <c r="A15" s="12" t="n">
        <v>14</v>
      </c>
      <c r="B15" s="13" t="s">
        <v>114</v>
      </c>
      <c r="C15" s="13" t="s">
        <v>81</v>
      </c>
      <c r="D15" s="13" t="s">
        <v>115</v>
      </c>
      <c r="E15" s="13" t="s">
        <v>116</v>
      </c>
      <c r="F15" s="13" t="s">
        <v>117</v>
      </c>
      <c r="G15" s="13" t="s">
        <v>43</v>
      </c>
      <c r="H15" s="14" t="n">
        <v>1500</v>
      </c>
      <c r="I15" s="14" t="n">
        <v>0</v>
      </c>
      <c r="J15" s="13" t="s">
        <v>118</v>
      </c>
      <c r="K15" s="13"/>
      <c r="L15" s="13" t="s">
        <v>53</v>
      </c>
      <c r="M15" s="13" t="s">
        <v>46</v>
      </c>
      <c r="N15" s="13"/>
      <c r="O15" s="15"/>
      <c r="P15" s="15"/>
      <c r="Q15" s="15"/>
      <c r="R15" s="15"/>
      <c r="S15" s="15"/>
    </row>
    <row r="16" customFormat="false" ht="39" hidden="false" customHeight="true" outlineLevel="0" collapsed="false">
      <c r="A16" s="12" t="n">
        <v>15</v>
      </c>
      <c r="B16" s="13" t="s">
        <v>119</v>
      </c>
      <c r="C16" s="13" t="s">
        <v>93</v>
      </c>
      <c r="D16" s="13" t="s">
        <v>120</v>
      </c>
      <c r="E16" s="13" t="s">
        <v>121</v>
      </c>
      <c r="F16" s="13" t="s">
        <v>122</v>
      </c>
      <c r="G16" s="13" t="s">
        <v>43</v>
      </c>
      <c r="H16" s="14" t="n">
        <v>1500</v>
      </c>
      <c r="I16" s="14" t="n">
        <v>0</v>
      </c>
      <c r="J16" s="13" t="s">
        <v>123</v>
      </c>
      <c r="K16" s="13"/>
      <c r="L16" s="13" t="s">
        <v>53</v>
      </c>
      <c r="M16" s="13" t="s">
        <v>46</v>
      </c>
      <c r="N16" s="13"/>
      <c r="O16" s="15"/>
      <c r="P16" s="15"/>
      <c r="Q16" s="15"/>
      <c r="R16" s="15"/>
      <c r="S16" s="15"/>
    </row>
    <row r="17" customFormat="false" ht="39" hidden="false" customHeight="true" outlineLevel="0" collapsed="false">
      <c r="A17" s="12" t="n">
        <v>16</v>
      </c>
      <c r="B17" s="13" t="s">
        <v>124</v>
      </c>
      <c r="C17" s="13" t="s">
        <v>125</v>
      </c>
      <c r="D17" s="13" t="s">
        <v>126</v>
      </c>
      <c r="E17" s="13" t="s">
        <v>127</v>
      </c>
      <c r="F17" s="13" t="s">
        <v>128</v>
      </c>
      <c r="G17" s="13" t="s">
        <v>43</v>
      </c>
      <c r="H17" s="14" t="n">
        <v>1800</v>
      </c>
      <c r="I17" s="14" t="n">
        <v>0</v>
      </c>
      <c r="J17" s="13" t="s">
        <v>129</v>
      </c>
      <c r="K17" s="13"/>
      <c r="L17" s="13" t="s">
        <v>45</v>
      </c>
      <c r="M17" s="13" t="s">
        <v>46</v>
      </c>
      <c r="N17" s="13"/>
      <c r="O17" s="15"/>
      <c r="P17" s="15"/>
      <c r="Q17" s="15"/>
      <c r="R17" s="15"/>
      <c r="S17" s="15"/>
    </row>
    <row r="18" customFormat="false" ht="39" hidden="false" customHeight="true" outlineLevel="0" collapsed="false">
      <c r="A18" s="12" t="n">
        <v>17</v>
      </c>
      <c r="B18" s="13" t="s">
        <v>130</v>
      </c>
      <c r="C18" s="13" t="s">
        <v>39</v>
      </c>
      <c r="D18" s="13" t="s">
        <v>131</v>
      </c>
      <c r="E18" s="13" t="s">
        <v>132</v>
      </c>
      <c r="F18" s="13" t="s">
        <v>133</v>
      </c>
      <c r="G18" s="13" t="s">
        <v>43</v>
      </c>
      <c r="H18" s="14" t="n">
        <v>1800</v>
      </c>
      <c r="I18" s="14" t="n">
        <v>0</v>
      </c>
      <c r="J18" s="13" t="s">
        <v>134</v>
      </c>
      <c r="K18" s="13"/>
      <c r="L18" s="13" t="s">
        <v>45</v>
      </c>
      <c r="M18" s="13" t="s">
        <v>46</v>
      </c>
      <c r="N18" s="13"/>
      <c r="O18" s="15"/>
      <c r="P18" s="15"/>
      <c r="Q18" s="15"/>
      <c r="R18" s="15"/>
      <c r="S18" s="15"/>
    </row>
    <row r="19" customFormat="false" ht="39" hidden="false" customHeight="true" outlineLevel="0" collapsed="false">
      <c r="A19" s="12" t="n">
        <v>18</v>
      </c>
      <c r="B19" s="13" t="s">
        <v>135</v>
      </c>
      <c r="C19" s="13" t="s">
        <v>136</v>
      </c>
      <c r="D19" s="13" t="s">
        <v>137</v>
      </c>
      <c r="E19" s="13" t="s">
        <v>138</v>
      </c>
      <c r="F19" s="13" t="s">
        <v>139</v>
      </c>
      <c r="G19" s="13" t="s">
        <v>43</v>
      </c>
      <c r="H19" s="14" t="n">
        <v>1800</v>
      </c>
      <c r="I19" s="14" t="n">
        <v>0</v>
      </c>
      <c r="J19" s="13" t="s">
        <v>140</v>
      </c>
      <c r="K19" s="13"/>
      <c r="L19" s="13" t="s">
        <v>45</v>
      </c>
      <c r="M19" s="13" t="s">
        <v>46</v>
      </c>
      <c r="N19" s="13"/>
      <c r="O19" s="15"/>
      <c r="P19" s="15"/>
      <c r="Q19" s="15"/>
      <c r="R19" s="15"/>
      <c r="S19" s="15"/>
    </row>
    <row r="20" customFormat="false" ht="39" hidden="false" customHeight="true" outlineLevel="0" collapsed="false">
      <c r="A20" s="12" t="n">
        <v>19</v>
      </c>
      <c r="B20" s="13" t="s">
        <v>141</v>
      </c>
      <c r="C20" s="13" t="s">
        <v>109</v>
      </c>
      <c r="D20" s="13" t="s">
        <v>142</v>
      </c>
      <c r="E20" s="13" t="s">
        <v>143</v>
      </c>
      <c r="F20" s="13" t="s">
        <v>144</v>
      </c>
      <c r="G20" s="13" t="s">
        <v>43</v>
      </c>
      <c r="H20" s="14" t="n">
        <v>1800</v>
      </c>
      <c r="I20" s="14" t="n">
        <v>0</v>
      </c>
      <c r="J20" s="13" t="s">
        <v>145</v>
      </c>
      <c r="K20" s="13"/>
      <c r="L20" s="13" t="s">
        <v>45</v>
      </c>
      <c r="M20" s="13" t="s">
        <v>46</v>
      </c>
      <c r="N20" s="13"/>
      <c r="O20" s="15"/>
      <c r="P20" s="15"/>
      <c r="Q20" s="15"/>
      <c r="R20" s="15"/>
      <c r="S20" s="15"/>
    </row>
    <row r="21" customFormat="false" ht="39" hidden="false" customHeight="true" outlineLevel="0" collapsed="false">
      <c r="A21" s="12" t="n">
        <v>20</v>
      </c>
      <c r="B21" s="13" t="s">
        <v>146</v>
      </c>
      <c r="C21" s="13" t="s">
        <v>147</v>
      </c>
      <c r="D21" s="13" t="s">
        <v>148</v>
      </c>
      <c r="E21" s="13" t="s">
        <v>149</v>
      </c>
      <c r="F21" s="13" t="s">
        <v>150</v>
      </c>
      <c r="G21" s="13" t="s">
        <v>43</v>
      </c>
      <c r="H21" s="14" t="n">
        <v>1800</v>
      </c>
      <c r="I21" s="14" t="n">
        <v>0</v>
      </c>
      <c r="J21" s="13" t="s">
        <v>151</v>
      </c>
      <c r="K21" s="13"/>
      <c r="L21" s="13" t="s">
        <v>45</v>
      </c>
      <c r="M21" s="13" t="s">
        <v>46</v>
      </c>
      <c r="N21" s="13"/>
      <c r="O21" s="15"/>
      <c r="P21" s="15"/>
      <c r="Q21" s="15"/>
      <c r="R21" s="15"/>
      <c r="S21" s="15"/>
    </row>
    <row r="22" customFormat="false" ht="39" hidden="false" customHeight="true" outlineLevel="0" collapsed="false">
      <c r="A22" s="12" t="n">
        <v>21</v>
      </c>
      <c r="B22" s="13" t="s">
        <v>152</v>
      </c>
      <c r="C22" s="13" t="s">
        <v>81</v>
      </c>
      <c r="D22" s="13" t="s">
        <v>153</v>
      </c>
      <c r="E22" s="13" t="s">
        <v>154</v>
      </c>
      <c r="F22" s="13" t="s">
        <v>155</v>
      </c>
      <c r="G22" s="13" t="s">
        <v>43</v>
      </c>
      <c r="H22" s="14" t="n">
        <v>1500</v>
      </c>
      <c r="I22" s="14" t="n">
        <v>0</v>
      </c>
      <c r="J22" s="13" t="s">
        <v>156</v>
      </c>
      <c r="K22" s="13"/>
      <c r="L22" s="13" t="s">
        <v>53</v>
      </c>
      <c r="M22" s="13" t="s">
        <v>46</v>
      </c>
      <c r="N22" s="13"/>
      <c r="O22" s="15"/>
      <c r="P22" s="15"/>
      <c r="Q22" s="15"/>
      <c r="R22" s="15"/>
      <c r="S22" s="15"/>
    </row>
    <row r="23" customFormat="false" ht="39" hidden="false" customHeight="true" outlineLevel="0" collapsed="false">
      <c r="A23" s="12" t="n">
        <v>22</v>
      </c>
      <c r="B23" s="13" t="s">
        <v>157</v>
      </c>
      <c r="C23" s="13" t="s">
        <v>93</v>
      </c>
      <c r="D23" s="13" t="s">
        <v>158</v>
      </c>
      <c r="E23" s="13" t="s">
        <v>159</v>
      </c>
      <c r="F23" s="13" t="s">
        <v>160</v>
      </c>
      <c r="G23" s="13" t="s">
        <v>43</v>
      </c>
      <c r="H23" s="14" t="n">
        <v>1500</v>
      </c>
      <c r="I23" s="14" t="n">
        <v>0</v>
      </c>
      <c r="J23" s="13" t="s">
        <v>161</v>
      </c>
      <c r="K23" s="13"/>
      <c r="L23" s="13" t="s">
        <v>53</v>
      </c>
      <c r="M23" s="13" t="s">
        <v>46</v>
      </c>
      <c r="N23" s="13"/>
      <c r="O23" s="15"/>
      <c r="P23" s="15"/>
      <c r="Q23" s="15"/>
      <c r="R23" s="15"/>
      <c r="S23" s="15"/>
    </row>
    <row r="24" customFormat="false" ht="39" hidden="false" customHeight="true" outlineLevel="0" collapsed="false">
      <c r="A24" s="12" t="n">
        <v>23</v>
      </c>
      <c r="B24" s="13" t="s">
        <v>162</v>
      </c>
      <c r="C24" s="13" t="s">
        <v>125</v>
      </c>
      <c r="D24" s="13" t="s">
        <v>163</v>
      </c>
      <c r="E24" s="13" t="s">
        <v>164</v>
      </c>
      <c r="F24" s="13" t="s">
        <v>165</v>
      </c>
      <c r="G24" s="13" t="s">
        <v>43</v>
      </c>
      <c r="H24" s="14" t="n">
        <v>1800</v>
      </c>
      <c r="I24" s="14" t="n">
        <v>0</v>
      </c>
      <c r="J24" s="13" t="s">
        <v>166</v>
      </c>
      <c r="K24" s="13"/>
      <c r="L24" s="13" t="s">
        <v>45</v>
      </c>
      <c r="M24" s="13" t="s">
        <v>46</v>
      </c>
      <c r="N24" s="13"/>
      <c r="O24" s="15"/>
      <c r="P24" s="15"/>
      <c r="Q24" s="15"/>
      <c r="R24" s="15"/>
      <c r="S24" s="15"/>
    </row>
    <row r="25" customFormat="false" ht="39" hidden="false" customHeight="true" outlineLevel="0" collapsed="false">
      <c r="A25" s="12" t="n">
        <v>24</v>
      </c>
      <c r="B25" s="13" t="s">
        <v>167</v>
      </c>
      <c r="C25" s="13" t="s">
        <v>109</v>
      </c>
      <c r="D25" s="13" t="s">
        <v>168</v>
      </c>
      <c r="E25" s="13" t="s">
        <v>169</v>
      </c>
      <c r="F25" s="13" t="s">
        <v>170</v>
      </c>
      <c r="G25" s="13" t="s">
        <v>43</v>
      </c>
      <c r="H25" s="14" t="n">
        <v>1800</v>
      </c>
      <c r="I25" s="14" t="n">
        <v>0</v>
      </c>
      <c r="J25" s="13" t="s">
        <v>171</v>
      </c>
      <c r="K25" s="13"/>
      <c r="L25" s="13" t="s">
        <v>45</v>
      </c>
      <c r="M25" s="13" t="s">
        <v>46</v>
      </c>
      <c r="N25" s="13"/>
      <c r="O25" s="15"/>
      <c r="P25" s="15"/>
      <c r="Q25" s="15"/>
      <c r="R25" s="15"/>
      <c r="S25" s="15"/>
    </row>
    <row r="26" customFormat="false" ht="39" hidden="false" customHeight="true" outlineLevel="0" collapsed="false">
      <c r="A26" s="12" t="n">
        <v>25</v>
      </c>
      <c r="B26" s="13" t="s">
        <v>172</v>
      </c>
      <c r="C26" s="13" t="s">
        <v>173</v>
      </c>
      <c r="D26" s="13" t="s">
        <v>174</v>
      </c>
      <c r="E26" s="13" t="s">
        <v>175</v>
      </c>
      <c r="F26" s="13" t="s">
        <v>176</v>
      </c>
      <c r="G26" s="13" t="s">
        <v>43</v>
      </c>
      <c r="H26" s="14" t="n">
        <v>1800</v>
      </c>
      <c r="I26" s="14" t="n">
        <v>0</v>
      </c>
      <c r="J26" s="13" t="s">
        <v>171</v>
      </c>
      <c r="K26" s="13"/>
      <c r="L26" s="13" t="s">
        <v>45</v>
      </c>
      <c r="M26" s="13" t="s">
        <v>46</v>
      </c>
      <c r="N26" s="13"/>
      <c r="O26" s="15"/>
      <c r="P26" s="15"/>
      <c r="Q26" s="15"/>
      <c r="R26" s="15"/>
      <c r="S26" s="15"/>
    </row>
    <row r="27" customFormat="false" ht="39" hidden="false" customHeight="true" outlineLevel="0" collapsed="false">
      <c r="A27" s="12" t="n">
        <v>26</v>
      </c>
      <c r="B27" s="13" t="s">
        <v>177</v>
      </c>
      <c r="C27" s="13" t="s">
        <v>173</v>
      </c>
      <c r="D27" s="13" t="s">
        <v>178</v>
      </c>
      <c r="E27" s="13" t="s">
        <v>179</v>
      </c>
      <c r="F27" s="13" t="s">
        <v>180</v>
      </c>
      <c r="G27" s="13" t="s">
        <v>43</v>
      </c>
      <c r="H27" s="14" t="n">
        <v>1800</v>
      </c>
      <c r="I27" s="14" t="n">
        <v>0</v>
      </c>
      <c r="J27" s="13" t="s">
        <v>171</v>
      </c>
      <c r="K27" s="13"/>
      <c r="L27" s="13" t="s">
        <v>45</v>
      </c>
      <c r="M27" s="13" t="s">
        <v>46</v>
      </c>
      <c r="N27" s="13"/>
      <c r="O27" s="15"/>
      <c r="P27" s="15"/>
      <c r="Q27" s="15"/>
      <c r="R27" s="15"/>
      <c r="S27" s="15"/>
    </row>
    <row r="28" customFormat="false" ht="39" hidden="false" customHeight="true" outlineLevel="0" collapsed="false">
      <c r="A28" s="12" t="n">
        <v>27</v>
      </c>
      <c r="B28" s="13" t="s">
        <v>181</v>
      </c>
      <c r="C28" s="13" t="s">
        <v>61</v>
      </c>
      <c r="D28" s="13" t="s">
        <v>182</v>
      </c>
      <c r="E28" s="13" t="s">
        <v>183</v>
      </c>
      <c r="F28" s="13" t="s">
        <v>184</v>
      </c>
      <c r="G28" s="13" t="s">
        <v>43</v>
      </c>
      <c r="H28" s="14" t="n">
        <v>1500</v>
      </c>
      <c r="I28" s="14" t="n">
        <v>0</v>
      </c>
      <c r="J28" s="13" t="s">
        <v>171</v>
      </c>
      <c r="K28" s="13"/>
      <c r="L28" s="13" t="s">
        <v>53</v>
      </c>
      <c r="M28" s="13" t="s">
        <v>46</v>
      </c>
      <c r="N28" s="13"/>
      <c r="O28" s="15"/>
      <c r="P28" s="15"/>
      <c r="Q28" s="15"/>
      <c r="R28" s="15"/>
      <c r="S28" s="15"/>
    </row>
    <row r="29" customFormat="false" ht="39" hidden="false" customHeight="true" outlineLevel="0" collapsed="false">
      <c r="A29" s="12" t="n">
        <v>28</v>
      </c>
      <c r="B29" s="13" t="s">
        <v>185</v>
      </c>
      <c r="C29" s="13" t="s">
        <v>173</v>
      </c>
      <c r="D29" s="13" t="s">
        <v>186</v>
      </c>
      <c r="E29" s="13" t="s">
        <v>187</v>
      </c>
      <c r="F29" s="13" t="s">
        <v>188</v>
      </c>
      <c r="G29" s="13" t="s">
        <v>43</v>
      </c>
      <c r="H29" s="14" t="n">
        <v>1800</v>
      </c>
      <c r="I29" s="14" t="n">
        <v>0</v>
      </c>
      <c r="J29" s="13" t="s">
        <v>189</v>
      </c>
      <c r="K29" s="13"/>
      <c r="L29" s="13" t="s">
        <v>45</v>
      </c>
      <c r="M29" s="13" t="s">
        <v>46</v>
      </c>
      <c r="N29" s="13"/>
      <c r="O29" s="15"/>
      <c r="P29" s="15"/>
      <c r="Q29" s="15"/>
      <c r="R29" s="15"/>
      <c r="S29" s="15"/>
    </row>
    <row r="30" customFormat="false" ht="39" hidden="false" customHeight="true" outlineLevel="0" collapsed="false">
      <c r="A30" s="12" t="n">
        <v>29</v>
      </c>
      <c r="B30" s="13" t="s">
        <v>190</v>
      </c>
      <c r="C30" s="13" t="s">
        <v>191</v>
      </c>
      <c r="D30" s="13" t="s">
        <v>192</v>
      </c>
      <c r="E30" s="13" t="s">
        <v>193</v>
      </c>
      <c r="F30" s="13" t="s">
        <v>194</v>
      </c>
      <c r="G30" s="13" t="s">
        <v>43</v>
      </c>
      <c r="H30" s="14" t="n">
        <v>1800</v>
      </c>
      <c r="I30" s="14" t="n">
        <v>0</v>
      </c>
      <c r="J30" s="13" t="s">
        <v>189</v>
      </c>
      <c r="K30" s="13"/>
      <c r="L30" s="13" t="s">
        <v>45</v>
      </c>
      <c r="M30" s="13" t="s">
        <v>46</v>
      </c>
      <c r="N30" s="13"/>
      <c r="O30" s="15"/>
      <c r="P30" s="15"/>
      <c r="Q30" s="15"/>
      <c r="R30" s="15"/>
      <c r="S30" s="15"/>
    </row>
    <row r="31" customFormat="false" ht="39" hidden="false" customHeight="true" outlineLevel="0" collapsed="false">
      <c r="A31" s="12" t="n">
        <v>30</v>
      </c>
      <c r="B31" s="13" t="s">
        <v>195</v>
      </c>
      <c r="C31" s="13" t="s">
        <v>93</v>
      </c>
      <c r="D31" s="13" t="s">
        <v>196</v>
      </c>
      <c r="E31" s="13" t="s">
        <v>197</v>
      </c>
      <c r="F31" s="13" t="s">
        <v>198</v>
      </c>
      <c r="G31" s="13" t="s">
        <v>43</v>
      </c>
      <c r="H31" s="14" t="n">
        <v>1500</v>
      </c>
      <c r="I31" s="14" t="n">
        <v>0</v>
      </c>
      <c r="J31" s="13" t="s">
        <v>189</v>
      </c>
      <c r="K31" s="13"/>
      <c r="L31" s="13" t="s">
        <v>53</v>
      </c>
      <c r="M31" s="13" t="s">
        <v>46</v>
      </c>
      <c r="N31" s="13"/>
      <c r="O31" s="15"/>
      <c r="P31" s="15"/>
      <c r="Q31" s="15"/>
      <c r="R31" s="15"/>
      <c r="S31" s="15"/>
    </row>
    <row r="32" customFormat="false" ht="39" hidden="false" customHeight="true" outlineLevel="0" collapsed="false">
      <c r="A32" s="12" t="n">
        <v>31</v>
      </c>
      <c r="B32" s="13" t="s">
        <v>199</v>
      </c>
      <c r="C32" s="13" t="s">
        <v>200</v>
      </c>
      <c r="D32" s="13" t="s">
        <v>201</v>
      </c>
      <c r="E32" s="13" t="s">
        <v>202</v>
      </c>
      <c r="F32" s="13" t="s">
        <v>203</v>
      </c>
      <c r="G32" s="13" t="s">
        <v>43</v>
      </c>
      <c r="H32" s="14" t="n">
        <v>1800</v>
      </c>
      <c r="I32" s="14" t="n">
        <v>0</v>
      </c>
      <c r="J32" s="13" t="s">
        <v>204</v>
      </c>
      <c r="K32" s="13"/>
      <c r="L32" s="13" t="s">
        <v>45</v>
      </c>
      <c r="M32" s="13" t="s">
        <v>46</v>
      </c>
      <c r="N32" s="13"/>
      <c r="O32" s="15"/>
      <c r="P32" s="15"/>
      <c r="Q32" s="15"/>
      <c r="R32" s="15"/>
      <c r="S32" s="15"/>
    </row>
    <row r="33" customFormat="false" ht="39" hidden="false" customHeight="true" outlineLevel="0" collapsed="false">
      <c r="A33" s="12" t="n">
        <v>32</v>
      </c>
      <c r="B33" s="13" t="s">
        <v>205</v>
      </c>
      <c r="C33" s="13" t="s">
        <v>93</v>
      </c>
      <c r="D33" s="13" t="s">
        <v>206</v>
      </c>
      <c r="E33" s="13" t="s">
        <v>207</v>
      </c>
      <c r="F33" s="13" t="s">
        <v>208</v>
      </c>
      <c r="G33" s="13" t="s">
        <v>43</v>
      </c>
      <c r="H33" s="14" t="n">
        <v>1500</v>
      </c>
      <c r="I33" s="14" t="n">
        <v>0</v>
      </c>
      <c r="J33" s="13" t="s">
        <v>204</v>
      </c>
      <c r="K33" s="13"/>
      <c r="L33" s="13" t="s">
        <v>53</v>
      </c>
      <c r="M33" s="13" t="s">
        <v>46</v>
      </c>
      <c r="N33" s="13"/>
      <c r="O33" s="15"/>
      <c r="P33" s="15"/>
      <c r="Q33" s="15"/>
      <c r="R33" s="15"/>
      <c r="S33" s="15"/>
    </row>
    <row r="34" customFormat="false" ht="39" hidden="false" customHeight="true" outlineLevel="0" collapsed="false">
      <c r="A34" s="12" t="n">
        <v>33</v>
      </c>
      <c r="B34" s="13" t="s">
        <v>209</v>
      </c>
      <c r="C34" s="13" t="s">
        <v>93</v>
      </c>
      <c r="D34" s="13" t="s">
        <v>210</v>
      </c>
      <c r="E34" s="13" t="s">
        <v>211</v>
      </c>
      <c r="F34" s="13" t="s">
        <v>212</v>
      </c>
      <c r="G34" s="13" t="s">
        <v>43</v>
      </c>
      <c r="H34" s="14" t="n">
        <v>1500</v>
      </c>
      <c r="I34" s="14" t="n">
        <v>0</v>
      </c>
      <c r="J34" s="13" t="s">
        <v>213</v>
      </c>
      <c r="K34" s="13"/>
      <c r="L34" s="13" t="s">
        <v>53</v>
      </c>
      <c r="M34" s="13" t="s">
        <v>46</v>
      </c>
      <c r="N34" s="13"/>
      <c r="O34" s="15"/>
      <c r="P34" s="15"/>
      <c r="Q34" s="15"/>
      <c r="R34" s="15"/>
      <c r="S34" s="15"/>
    </row>
    <row r="35" customFormat="false" ht="39" hidden="false" customHeight="true" outlineLevel="0" collapsed="false">
      <c r="A35" s="12" t="n">
        <v>34</v>
      </c>
      <c r="B35" s="13" t="s">
        <v>214</v>
      </c>
      <c r="C35" s="13" t="s">
        <v>215</v>
      </c>
      <c r="D35" s="13" t="s">
        <v>216</v>
      </c>
      <c r="E35" s="13" t="s">
        <v>217</v>
      </c>
      <c r="F35" s="13" t="s">
        <v>218</v>
      </c>
      <c r="G35" s="13" t="s">
        <v>43</v>
      </c>
      <c r="H35" s="14" t="n">
        <v>1800</v>
      </c>
      <c r="I35" s="14" t="n">
        <v>0</v>
      </c>
      <c r="J35" s="13" t="s">
        <v>219</v>
      </c>
      <c r="K35" s="13"/>
      <c r="L35" s="13" t="s">
        <v>45</v>
      </c>
      <c r="M35" s="13" t="s">
        <v>46</v>
      </c>
      <c r="N35" s="13"/>
      <c r="O35" s="15"/>
      <c r="P35" s="15"/>
      <c r="Q35" s="15"/>
      <c r="R35" s="15"/>
      <c r="S35" s="15"/>
    </row>
    <row r="36" customFormat="false" ht="52.2" hidden="false" customHeight="false" outlineLevel="0" collapsed="false">
      <c r="A36" s="12" t="n">
        <v>35</v>
      </c>
      <c r="B36" s="13" t="s">
        <v>220</v>
      </c>
      <c r="C36" s="13" t="s">
        <v>215</v>
      </c>
      <c r="D36" s="13" t="s">
        <v>221</v>
      </c>
      <c r="E36" s="13"/>
      <c r="F36" s="13" t="s">
        <v>222</v>
      </c>
      <c r="G36" s="13" t="s">
        <v>43</v>
      </c>
      <c r="H36" s="14" t="n">
        <v>1800</v>
      </c>
      <c r="I36" s="14" t="n">
        <v>0</v>
      </c>
      <c r="J36" s="13" t="s">
        <v>219</v>
      </c>
      <c r="K36" s="13"/>
      <c r="L36" s="13" t="s">
        <v>45</v>
      </c>
      <c r="M36" s="13" t="s">
        <v>46</v>
      </c>
      <c r="N36" s="13"/>
    </row>
    <row r="37" customFormat="false" ht="64.9" hidden="false" customHeight="false" outlineLevel="0" collapsed="false">
      <c r="A37" s="12" t="n">
        <v>36</v>
      </c>
      <c r="B37" s="13" t="s">
        <v>223</v>
      </c>
      <c r="C37" s="13" t="s">
        <v>224</v>
      </c>
      <c r="D37" s="13" t="s">
        <v>225</v>
      </c>
      <c r="E37" s="13" t="s">
        <v>226</v>
      </c>
      <c r="F37" s="13" t="s">
        <v>227</v>
      </c>
      <c r="G37" s="13" t="s">
        <v>43</v>
      </c>
      <c r="H37" s="14" t="n">
        <v>1800</v>
      </c>
      <c r="I37" s="14" t="n">
        <v>0</v>
      </c>
      <c r="J37" s="13" t="s">
        <v>219</v>
      </c>
      <c r="K37" s="13"/>
      <c r="L37" s="13" t="s">
        <v>45</v>
      </c>
      <c r="M37" s="13" t="s">
        <v>46</v>
      </c>
      <c r="N37" s="13"/>
    </row>
    <row r="38" customFormat="false" ht="64.9" hidden="false" customHeight="false" outlineLevel="0" collapsed="false">
      <c r="A38" s="12" t="n">
        <v>37</v>
      </c>
      <c r="B38" s="13" t="s">
        <v>228</v>
      </c>
      <c r="C38" s="13" t="s">
        <v>81</v>
      </c>
      <c r="D38" s="13" t="s">
        <v>229</v>
      </c>
      <c r="E38" s="13" t="s">
        <v>230</v>
      </c>
      <c r="F38" s="13" t="s">
        <v>231</v>
      </c>
      <c r="G38" s="13" t="s">
        <v>43</v>
      </c>
      <c r="H38" s="14" t="n">
        <v>1500</v>
      </c>
      <c r="I38" s="14" t="n">
        <v>0</v>
      </c>
      <c r="J38" s="13" t="s">
        <v>219</v>
      </c>
      <c r="K38" s="13"/>
      <c r="L38" s="13" t="s">
        <v>53</v>
      </c>
      <c r="M38" s="13" t="s">
        <v>46</v>
      </c>
      <c r="N38" s="13"/>
    </row>
    <row r="39" customFormat="false" ht="64.9" hidden="false" customHeight="false" outlineLevel="0" collapsed="false">
      <c r="A39" s="12" t="n">
        <v>38</v>
      </c>
      <c r="B39" s="13" t="s">
        <v>232</v>
      </c>
      <c r="C39" s="13" t="s">
        <v>87</v>
      </c>
      <c r="D39" s="13" t="s">
        <v>233</v>
      </c>
      <c r="E39" s="13" t="s">
        <v>234</v>
      </c>
      <c r="F39" s="13" t="s">
        <v>235</v>
      </c>
      <c r="G39" s="13" t="s">
        <v>43</v>
      </c>
      <c r="H39" s="14" t="n">
        <v>1500</v>
      </c>
      <c r="I39" s="14" t="n">
        <v>0</v>
      </c>
      <c r="J39" s="13" t="s">
        <v>236</v>
      </c>
      <c r="K39" s="13"/>
      <c r="L39" s="13" t="s">
        <v>53</v>
      </c>
      <c r="M39" s="13" t="s">
        <v>46</v>
      </c>
      <c r="N39" s="13"/>
    </row>
    <row r="40" customFormat="false" ht="64.9" hidden="false" customHeight="false" outlineLevel="0" collapsed="false">
      <c r="A40" s="12" t="n">
        <v>39</v>
      </c>
      <c r="B40" s="13" t="s">
        <v>237</v>
      </c>
      <c r="C40" s="13" t="s">
        <v>48</v>
      </c>
      <c r="D40" s="13" t="s">
        <v>238</v>
      </c>
      <c r="E40" s="13" t="s">
        <v>239</v>
      </c>
      <c r="F40" s="13" t="s">
        <v>240</v>
      </c>
      <c r="G40" s="13" t="s">
        <v>43</v>
      </c>
      <c r="H40" s="14" t="n">
        <v>1500</v>
      </c>
      <c r="I40" s="14" t="n">
        <v>0</v>
      </c>
      <c r="J40" s="13" t="s">
        <v>241</v>
      </c>
      <c r="K40" s="13"/>
      <c r="L40" s="13" t="s">
        <v>53</v>
      </c>
      <c r="M40" s="13" t="s">
        <v>46</v>
      </c>
      <c r="N40" s="13"/>
    </row>
    <row r="41" customFormat="false" ht="64.9" hidden="false" customHeight="false" outlineLevel="0" collapsed="false">
      <c r="A41" s="12" t="n">
        <v>40</v>
      </c>
      <c r="B41" s="13" t="s">
        <v>242</v>
      </c>
      <c r="C41" s="13" t="s">
        <v>87</v>
      </c>
      <c r="D41" s="13" t="s">
        <v>243</v>
      </c>
      <c r="E41" s="13" t="s">
        <v>244</v>
      </c>
      <c r="F41" s="13" t="s">
        <v>245</v>
      </c>
      <c r="G41" s="13" t="s">
        <v>43</v>
      </c>
      <c r="H41" s="14" t="n">
        <v>1500</v>
      </c>
      <c r="I41" s="14" t="n">
        <v>0</v>
      </c>
      <c r="J41" s="13" t="s">
        <v>246</v>
      </c>
      <c r="K41" s="13"/>
      <c r="L41" s="13" t="s">
        <v>53</v>
      </c>
      <c r="M41" s="13" t="s">
        <v>46</v>
      </c>
      <c r="N41" s="13"/>
    </row>
    <row r="42" customFormat="false" ht="64.9" hidden="false" customHeight="false" outlineLevel="0" collapsed="false">
      <c r="A42" s="12" t="n">
        <v>41</v>
      </c>
      <c r="B42" s="13" t="s">
        <v>247</v>
      </c>
      <c r="C42" s="13" t="s">
        <v>87</v>
      </c>
      <c r="D42" s="13" t="s">
        <v>248</v>
      </c>
      <c r="E42" s="13" t="s">
        <v>249</v>
      </c>
      <c r="F42" s="13" t="s">
        <v>250</v>
      </c>
      <c r="G42" s="13" t="s">
        <v>43</v>
      </c>
      <c r="H42" s="14" t="n">
        <v>1500</v>
      </c>
      <c r="I42" s="14" t="n">
        <v>0</v>
      </c>
      <c r="J42" s="13" t="s">
        <v>251</v>
      </c>
      <c r="K42" s="13"/>
      <c r="L42" s="13" t="s">
        <v>53</v>
      </c>
      <c r="M42" s="13" t="s">
        <v>46</v>
      </c>
      <c r="N42" s="13"/>
    </row>
    <row r="43" customFormat="false" ht="64.9" hidden="false" customHeight="false" outlineLevel="0" collapsed="false">
      <c r="A43" s="12" t="n">
        <v>42</v>
      </c>
      <c r="B43" s="13" t="s">
        <v>252</v>
      </c>
      <c r="C43" s="13" t="s">
        <v>87</v>
      </c>
      <c r="D43" s="13" t="s">
        <v>253</v>
      </c>
      <c r="E43" s="13" t="s">
        <v>254</v>
      </c>
      <c r="F43" s="13" t="s">
        <v>255</v>
      </c>
      <c r="G43" s="13" t="s">
        <v>43</v>
      </c>
      <c r="H43" s="14" t="n">
        <v>1500</v>
      </c>
      <c r="I43" s="14" t="n">
        <v>0</v>
      </c>
      <c r="J43" s="13" t="s">
        <v>256</v>
      </c>
      <c r="K43" s="13"/>
      <c r="L43" s="13" t="s">
        <v>53</v>
      </c>
      <c r="M43" s="13" t="s">
        <v>46</v>
      </c>
      <c r="N43" s="13"/>
    </row>
    <row r="44" customFormat="false" ht="64.9" hidden="false" customHeight="false" outlineLevel="0" collapsed="false">
      <c r="A44" s="12" t="n">
        <v>43</v>
      </c>
      <c r="B44" s="13" t="s">
        <v>257</v>
      </c>
      <c r="C44" s="13" t="s">
        <v>93</v>
      </c>
      <c r="D44" s="13" t="s">
        <v>258</v>
      </c>
      <c r="E44" s="13" t="s">
        <v>259</v>
      </c>
      <c r="F44" s="13" t="s">
        <v>260</v>
      </c>
      <c r="G44" s="13" t="s">
        <v>43</v>
      </c>
      <c r="H44" s="14" t="n">
        <v>1500</v>
      </c>
      <c r="I44" s="14" t="n">
        <v>0</v>
      </c>
      <c r="J44" s="13" t="s">
        <v>261</v>
      </c>
      <c r="K44" s="13"/>
      <c r="L44" s="13" t="s">
        <v>53</v>
      </c>
      <c r="M44" s="13" t="s">
        <v>46</v>
      </c>
      <c r="N44" s="13"/>
    </row>
    <row r="45" customFormat="false" ht="52.2" hidden="false" customHeight="false" outlineLevel="0" collapsed="false">
      <c r="A45" s="12" t="n">
        <v>44</v>
      </c>
      <c r="B45" s="13" t="s">
        <v>262</v>
      </c>
      <c r="C45" s="13" t="s">
        <v>263</v>
      </c>
      <c r="D45" s="13" t="s">
        <v>264</v>
      </c>
      <c r="E45" s="13" t="s">
        <v>265</v>
      </c>
      <c r="F45" s="13" t="s">
        <v>266</v>
      </c>
      <c r="G45" s="13" t="s">
        <v>43</v>
      </c>
      <c r="H45" s="14" t="n">
        <v>1800</v>
      </c>
      <c r="I45" s="14" t="n">
        <v>0</v>
      </c>
      <c r="J45" s="13" t="s">
        <v>267</v>
      </c>
      <c r="K45" s="13"/>
      <c r="L45" s="13" t="s">
        <v>45</v>
      </c>
      <c r="M45" s="13" t="s">
        <v>46</v>
      </c>
      <c r="N45" s="13"/>
    </row>
    <row r="46" customFormat="false" ht="64.9" hidden="false" customHeight="false" outlineLevel="0" collapsed="false">
      <c r="A46" s="12" t="n">
        <v>45</v>
      </c>
      <c r="B46" s="13" t="s">
        <v>232</v>
      </c>
      <c r="C46" s="13" t="s">
        <v>87</v>
      </c>
      <c r="D46" s="13" t="s">
        <v>268</v>
      </c>
      <c r="E46" s="13" t="s">
        <v>269</v>
      </c>
      <c r="F46" s="13" t="s">
        <v>270</v>
      </c>
      <c r="G46" s="13" t="s">
        <v>43</v>
      </c>
      <c r="H46" s="14" t="n">
        <v>1500</v>
      </c>
      <c r="I46" s="14" t="n">
        <v>0</v>
      </c>
      <c r="J46" s="13" t="s">
        <v>271</v>
      </c>
      <c r="K46" s="13"/>
      <c r="L46" s="13" t="s">
        <v>53</v>
      </c>
      <c r="M46" s="13" t="s">
        <v>46</v>
      </c>
      <c r="N46" s="13"/>
    </row>
    <row r="47" customFormat="false" ht="64.9" hidden="false" customHeight="false" outlineLevel="0" collapsed="false">
      <c r="A47" s="12" t="n">
        <v>46</v>
      </c>
      <c r="B47" s="13" t="s">
        <v>272</v>
      </c>
      <c r="C47" s="13" t="s">
        <v>93</v>
      </c>
      <c r="D47" s="13" t="s">
        <v>273</v>
      </c>
      <c r="E47" s="13" t="s">
        <v>274</v>
      </c>
      <c r="F47" s="13" t="s">
        <v>275</v>
      </c>
      <c r="G47" s="13" t="s">
        <v>43</v>
      </c>
      <c r="H47" s="14" t="n">
        <v>1500</v>
      </c>
      <c r="I47" s="14" t="n">
        <v>0</v>
      </c>
      <c r="J47" s="13" t="s">
        <v>276</v>
      </c>
      <c r="K47" s="13"/>
      <c r="L47" s="13" t="s">
        <v>53</v>
      </c>
      <c r="M47" s="13" t="s">
        <v>46</v>
      </c>
      <c r="N47" s="13"/>
    </row>
    <row r="48" customFormat="false" ht="64.9" hidden="false" customHeight="false" outlineLevel="0" collapsed="false">
      <c r="A48" s="12" t="n">
        <v>47</v>
      </c>
      <c r="B48" s="13" t="s">
        <v>277</v>
      </c>
      <c r="C48" s="13" t="s">
        <v>278</v>
      </c>
      <c r="D48" s="13" t="s">
        <v>279</v>
      </c>
      <c r="E48" s="13" t="s">
        <v>280</v>
      </c>
      <c r="F48" s="13" t="s">
        <v>281</v>
      </c>
      <c r="G48" s="13" t="s">
        <v>43</v>
      </c>
      <c r="H48" s="14" t="n">
        <v>1800</v>
      </c>
      <c r="I48" s="14" t="n">
        <v>0</v>
      </c>
      <c r="J48" s="13" t="s">
        <v>282</v>
      </c>
      <c r="K48" s="13"/>
      <c r="L48" s="13" t="s">
        <v>45</v>
      </c>
      <c r="M48" s="13" t="s">
        <v>46</v>
      </c>
      <c r="N48" s="13"/>
    </row>
    <row r="49" customFormat="false" ht="64.9" hidden="false" customHeight="false" outlineLevel="0" collapsed="false">
      <c r="A49" s="12" t="n">
        <v>48</v>
      </c>
      <c r="B49" s="13" t="s">
        <v>283</v>
      </c>
      <c r="C49" s="13" t="s">
        <v>48</v>
      </c>
      <c r="D49" s="13" t="s">
        <v>284</v>
      </c>
      <c r="E49" s="13" t="s">
        <v>285</v>
      </c>
      <c r="F49" s="13" t="s">
        <v>286</v>
      </c>
      <c r="G49" s="13" t="s">
        <v>43</v>
      </c>
      <c r="H49" s="14" t="n">
        <v>1500</v>
      </c>
      <c r="I49" s="14" t="n">
        <v>0</v>
      </c>
      <c r="J49" s="13" t="s">
        <v>282</v>
      </c>
      <c r="K49" s="13"/>
      <c r="L49" s="13" t="s">
        <v>53</v>
      </c>
      <c r="M49" s="13" t="s">
        <v>46</v>
      </c>
      <c r="N49" s="13"/>
    </row>
    <row r="50" customFormat="false" ht="64.9" hidden="false" customHeight="false" outlineLevel="0" collapsed="false">
      <c r="A50" s="12" t="n">
        <v>49</v>
      </c>
      <c r="B50" s="13" t="s">
        <v>287</v>
      </c>
      <c r="C50" s="13" t="s">
        <v>93</v>
      </c>
      <c r="D50" s="13" t="s">
        <v>288</v>
      </c>
      <c r="E50" s="13" t="s">
        <v>289</v>
      </c>
      <c r="F50" s="13" t="s">
        <v>290</v>
      </c>
      <c r="G50" s="13" t="s">
        <v>43</v>
      </c>
      <c r="H50" s="14" t="n">
        <v>1500</v>
      </c>
      <c r="I50" s="14" t="n">
        <v>0</v>
      </c>
      <c r="J50" s="13" t="s">
        <v>291</v>
      </c>
      <c r="K50" s="13"/>
      <c r="L50" s="13" t="s">
        <v>53</v>
      </c>
      <c r="M50" s="13" t="s">
        <v>46</v>
      </c>
      <c r="N50" s="13"/>
    </row>
    <row r="51" customFormat="false" ht="64.9" hidden="false" customHeight="false" outlineLevel="0" collapsed="false">
      <c r="A51" s="12" t="n">
        <v>50</v>
      </c>
      <c r="B51" s="13" t="s">
        <v>292</v>
      </c>
      <c r="C51" s="13" t="s">
        <v>61</v>
      </c>
      <c r="D51" s="13" t="s">
        <v>293</v>
      </c>
      <c r="E51" s="13" t="s">
        <v>183</v>
      </c>
      <c r="F51" s="13" t="s">
        <v>294</v>
      </c>
      <c r="G51" s="13" t="s">
        <v>43</v>
      </c>
      <c r="H51" s="14" t="n">
        <v>1500</v>
      </c>
      <c r="I51" s="14" t="n">
        <v>0</v>
      </c>
      <c r="J51" s="13" t="s">
        <v>295</v>
      </c>
      <c r="K51" s="13"/>
      <c r="L51" s="13" t="s">
        <v>53</v>
      </c>
      <c r="M51" s="13" t="s">
        <v>46</v>
      </c>
      <c r="N51" s="13"/>
    </row>
    <row r="52" customFormat="false" ht="64.9" hidden="false" customHeight="false" outlineLevel="0" collapsed="false">
      <c r="A52" s="12" t="n">
        <v>51</v>
      </c>
      <c r="B52" s="13" t="s">
        <v>296</v>
      </c>
      <c r="C52" s="13" t="s">
        <v>125</v>
      </c>
      <c r="D52" s="13" t="s">
        <v>297</v>
      </c>
      <c r="E52" s="13" t="s">
        <v>298</v>
      </c>
      <c r="F52" s="13" t="s">
        <v>299</v>
      </c>
      <c r="G52" s="13" t="s">
        <v>43</v>
      </c>
      <c r="H52" s="14" t="n">
        <v>1800</v>
      </c>
      <c r="I52" s="14" t="n">
        <v>0</v>
      </c>
      <c r="J52" s="13" t="s">
        <v>300</v>
      </c>
      <c r="K52" s="13"/>
      <c r="L52" s="13" t="s">
        <v>45</v>
      </c>
      <c r="M52" s="13" t="s">
        <v>46</v>
      </c>
      <c r="N52" s="13"/>
    </row>
    <row r="53" customFormat="false" ht="64.9" hidden="false" customHeight="false" outlineLevel="0" collapsed="false">
      <c r="A53" s="12" t="n">
        <v>52</v>
      </c>
      <c r="B53" s="13" t="s">
        <v>301</v>
      </c>
      <c r="C53" s="13" t="s">
        <v>81</v>
      </c>
      <c r="D53" s="13" t="s">
        <v>302</v>
      </c>
      <c r="E53" s="13" t="s">
        <v>303</v>
      </c>
      <c r="F53" s="13" t="s">
        <v>304</v>
      </c>
      <c r="G53" s="13" t="s">
        <v>43</v>
      </c>
      <c r="H53" s="14" t="n">
        <v>1500</v>
      </c>
      <c r="I53" s="14" t="n">
        <v>0</v>
      </c>
      <c r="J53" s="13" t="s">
        <v>305</v>
      </c>
      <c r="K53" s="13"/>
      <c r="L53" s="13" t="s">
        <v>53</v>
      </c>
      <c r="M53" s="13" t="s">
        <v>46</v>
      </c>
      <c r="N53" s="13"/>
    </row>
    <row r="54" customFormat="false" ht="64.9" hidden="false" customHeight="false" outlineLevel="0" collapsed="false">
      <c r="A54" s="12" t="n">
        <v>53</v>
      </c>
      <c r="B54" s="13" t="s">
        <v>306</v>
      </c>
      <c r="C54" s="13" t="s">
        <v>48</v>
      </c>
      <c r="D54" s="13" t="s">
        <v>307</v>
      </c>
      <c r="E54" s="13" t="s">
        <v>308</v>
      </c>
      <c r="F54" s="13" t="s">
        <v>309</v>
      </c>
      <c r="G54" s="13" t="s">
        <v>43</v>
      </c>
      <c r="H54" s="14" t="n">
        <v>1500</v>
      </c>
      <c r="I54" s="14" t="n">
        <v>0</v>
      </c>
      <c r="J54" s="13" t="s">
        <v>310</v>
      </c>
      <c r="K54" s="13"/>
      <c r="L54" s="13" t="s">
        <v>53</v>
      </c>
      <c r="M54" s="13" t="s">
        <v>46</v>
      </c>
      <c r="N54" s="13"/>
    </row>
    <row r="55" customFormat="false" ht="64.9" hidden="false" customHeight="false" outlineLevel="0" collapsed="false">
      <c r="A55" s="12" t="n">
        <v>54</v>
      </c>
      <c r="B55" s="13" t="s">
        <v>311</v>
      </c>
      <c r="C55" s="13" t="s">
        <v>87</v>
      </c>
      <c r="D55" s="13" t="s">
        <v>312</v>
      </c>
      <c r="E55" s="13" t="s">
        <v>313</v>
      </c>
      <c r="F55" s="13" t="s">
        <v>314</v>
      </c>
      <c r="G55" s="13" t="s">
        <v>43</v>
      </c>
      <c r="H55" s="14" t="n">
        <v>1500</v>
      </c>
      <c r="I55" s="14" t="n">
        <v>0</v>
      </c>
      <c r="J55" s="13" t="s">
        <v>315</v>
      </c>
      <c r="K55" s="13"/>
      <c r="L55" s="13" t="s">
        <v>53</v>
      </c>
      <c r="M55" s="13" t="s">
        <v>46</v>
      </c>
      <c r="N55" s="13"/>
    </row>
    <row r="56" customFormat="false" ht="64.9" hidden="false" customHeight="false" outlineLevel="0" collapsed="false">
      <c r="A56" s="12" t="n">
        <v>55</v>
      </c>
      <c r="B56" s="13" t="s">
        <v>316</v>
      </c>
      <c r="C56" s="13" t="s">
        <v>48</v>
      </c>
      <c r="D56" s="13" t="s">
        <v>317</v>
      </c>
      <c r="E56" s="13" t="s">
        <v>318</v>
      </c>
      <c r="F56" s="13" t="s">
        <v>319</v>
      </c>
      <c r="G56" s="13" t="s">
        <v>43</v>
      </c>
      <c r="H56" s="14" t="n">
        <v>1500</v>
      </c>
      <c r="I56" s="14" t="n">
        <v>0</v>
      </c>
      <c r="J56" s="13" t="s">
        <v>320</v>
      </c>
      <c r="K56" s="13"/>
      <c r="L56" s="13" t="s">
        <v>53</v>
      </c>
      <c r="M56" s="13" t="s">
        <v>46</v>
      </c>
      <c r="N56" s="13"/>
    </row>
    <row r="57" customFormat="false" ht="64.9" hidden="false" customHeight="false" outlineLevel="0" collapsed="false">
      <c r="A57" s="12" t="n">
        <v>56</v>
      </c>
      <c r="B57" s="13" t="s">
        <v>321</v>
      </c>
      <c r="C57" s="13" t="s">
        <v>39</v>
      </c>
      <c r="D57" s="13" t="s">
        <v>322</v>
      </c>
      <c r="E57" s="13" t="s">
        <v>323</v>
      </c>
      <c r="F57" s="13" t="s">
        <v>324</v>
      </c>
      <c r="G57" s="13" t="s">
        <v>43</v>
      </c>
      <c r="H57" s="14" t="n">
        <v>1800</v>
      </c>
      <c r="I57" s="14" t="n">
        <v>0</v>
      </c>
      <c r="J57" s="13" t="s">
        <v>325</v>
      </c>
      <c r="K57" s="13"/>
      <c r="L57" s="13" t="s">
        <v>45</v>
      </c>
      <c r="M57" s="13" t="s">
        <v>46</v>
      </c>
      <c r="N57" s="13"/>
    </row>
    <row r="58" customFormat="false" ht="64.9" hidden="false" customHeight="false" outlineLevel="0" collapsed="false">
      <c r="A58" s="12" t="n">
        <v>57</v>
      </c>
      <c r="B58" s="13" t="s">
        <v>326</v>
      </c>
      <c r="C58" s="13" t="s">
        <v>48</v>
      </c>
      <c r="D58" s="13" t="s">
        <v>327</v>
      </c>
      <c r="E58" s="13" t="s">
        <v>328</v>
      </c>
      <c r="F58" s="13" t="s">
        <v>329</v>
      </c>
      <c r="G58" s="13" t="s">
        <v>43</v>
      </c>
      <c r="H58" s="14" t="n">
        <v>1500</v>
      </c>
      <c r="I58" s="14" t="n">
        <v>0</v>
      </c>
      <c r="J58" s="13" t="s">
        <v>330</v>
      </c>
      <c r="K58" s="13"/>
      <c r="L58" s="13" t="s">
        <v>53</v>
      </c>
      <c r="M58" s="13" t="s">
        <v>46</v>
      </c>
      <c r="N58" s="13"/>
    </row>
    <row r="59" customFormat="false" ht="64.9" hidden="false" customHeight="false" outlineLevel="0" collapsed="false">
      <c r="A59" s="12" t="n">
        <v>58</v>
      </c>
      <c r="B59" s="13" t="s">
        <v>331</v>
      </c>
      <c r="C59" s="13" t="s">
        <v>55</v>
      </c>
      <c r="D59" s="13" t="s">
        <v>332</v>
      </c>
      <c r="E59" s="13" t="s">
        <v>333</v>
      </c>
      <c r="F59" s="13" t="s">
        <v>334</v>
      </c>
      <c r="G59" s="13" t="s">
        <v>43</v>
      </c>
      <c r="H59" s="14" t="n">
        <v>1500</v>
      </c>
      <c r="I59" s="14" t="n">
        <v>0</v>
      </c>
      <c r="J59" s="13" t="s">
        <v>335</v>
      </c>
      <c r="K59" s="13"/>
      <c r="L59" s="13" t="s">
        <v>53</v>
      </c>
      <c r="M59" s="13" t="s">
        <v>46</v>
      </c>
      <c r="N59" s="13"/>
    </row>
    <row r="60" customFormat="false" ht="64.9" hidden="false" customHeight="false" outlineLevel="0" collapsed="false">
      <c r="A60" s="12" t="n">
        <v>59</v>
      </c>
      <c r="B60" s="13" t="s">
        <v>336</v>
      </c>
      <c r="C60" s="13" t="s">
        <v>87</v>
      </c>
      <c r="D60" s="13" t="s">
        <v>337</v>
      </c>
      <c r="E60" s="13" t="s">
        <v>338</v>
      </c>
      <c r="F60" s="13" t="s">
        <v>339</v>
      </c>
      <c r="G60" s="13" t="s">
        <v>43</v>
      </c>
      <c r="H60" s="14" t="n">
        <v>1500</v>
      </c>
      <c r="I60" s="14" t="n">
        <v>0</v>
      </c>
      <c r="J60" s="13" t="s">
        <v>340</v>
      </c>
      <c r="K60" s="13"/>
      <c r="L60" s="13" t="s">
        <v>53</v>
      </c>
      <c r="M60" s="13" t="s">
        <v>46</v>
      </c>
      <c r="N60" s="13"/>
    </row>
    <row r="61" customFormat="false" ht="64.9" hidden="false" customHeight="false" outlineLevel="0" collapsed="false">
      <c r="A61" s="12" t="n">
        <v>60</v>
      </c>
      <c r="B61" s="13" t="s">
        <v>341</v>
      </c>
      <c r="C61" s="13" t="s">
        <v>263</v>
      </c>
      <c r="D61" s="13" t="s">
        <v>342</v>
      </c>
      <c r="E61" s="13" t="s">
        <v>343</v>
      </c>
      <c r="F61" s="13" t="s">
        <v>344</v>
      </c>
      <c r="G61" s="13" t="s">
        <v>43</v>
      </c>
      <c r="H61" s="14" t="n">
        <v>1800</v>
      </c>
      <c r="I61" s="14" t="n">
        <v>0</v>
      </c>
      <c r="J61" s="13" t="s">
        <v>345</v>
      </c>
      <c r="K61" s="13"/>
      <c r="L61" s="13" t="s">
        <v>45</v>
      </c>
      <c r="M61" s="13" t="s">
        <v>46</v>
      </c>
      <c r="N61" s="13"/>
    </row>
    <row r="62" customFormat="false" ht="64.9" hidden="false" customHeight="false" outlineLevel="0" collapsed="false">
      <c r="A62" s="12" t="n">
        <v>61</v>
      </c>
      <c r="B62" s="13" t="s">
        <v>346</v>
      </c>
      <c r="C62" s="13" t="s">
        <v>48</v>
      </c>
      <c r="D62" s="13" t="s">
        <v>347</v>
      </c>
      <c r="E62" s="13" t="s">
        <v>348</v>
      </c>
      <c r="F62" s="13" t="s">
        <v>349</v>
      </c>
      <c r="G62" s="13" t="s">
        <v>43</v>
      </c>
      <c r="H62" s="14" t="n">
        <v>1500</v>
      </c>
      <c r="I62" s="14" t="n">
        <v>0</v>
      </c>
      <c r="J62" s="13" t="s">
        <v>350</v>
      </c>
      <c r="K62" s="13"/>
      <c r="L62" s="13" t="s">
        <v>53</v>
      </c>
      <c r="M62" s="13" t="s">
        <v>46</v>
      </c>
      <c r="N62" s="13"/>
    </row>
    <row r="63" customFormat="false" ht="64.9" hidden="false" customHeight="false" outlineLevel="0" collapsed="false">
      <c r="A63" s="12" t="n">
        <v>62</v>
      </c>
      <c r="B63" s="13" t="s">
        <v>351</v>
      </c>
      <c r="C63" s="13" t="s">
        <v>61</v>
      </c>
      <c r="D63" s="13" t="s">
        <v>352</v>
      </c>
      <c r="E63" s="13" t="s">
        <v>353</v>
      </c>
      <c r="F63" s="13" t="s">
        <v>354</v>
      </c>
      <c r="G63" s="13" t="s">
        <v>43</v>
      </c>
      <c r="H63" s="14" t="n">
        <v>1500</v>
      </c>
      <c r="I63" s="14" t="n">
        <v>0</v>
      </c>
      <c r="J63" s="13" t="s">
        <v>355</v>
      </c>
      <c r="K63" s="13"/>
      <c r="L63" s="13" t="s">
        <v>53</v>
      </c>
      <c r="M63" s="13" t="s">
        <v>46</v>
      </c>
      <c r="N63" s="13"/>
    </row>
    <row r="64" customFormat="false" ht="64.9" hidden="false" customHeight="false" outlineLevel="0" collapsed="false">
      <c r="A64" s="12" t="n">
        <v>63</v>
      </c>
      <c r="B64" s="13" t="s">
        <v>356</v>
      </c>
      <c r="C64" s="13" t="s">
        <v>87</v>
      </c>
      <c r="D64" s="13" t="s">
        <v>357</v>
      </c>
      <c r="E64" s="13" t="s">
        <v>358</v>
      </c>
      <c r="F64" s="13" t="s">
        <v>359</v>
      </c>
      <c r="G64" s="13" t="s">
        <v>43</v>
      </c>
      <c r="H64" s="14" t="n">
        <v>1500</v>
      </c>
      <c r="I64" s="14" t="n">
        <v>0</v>
      </c>
      <c r="J64" s="13" t="s">
        <v>360</v>
      </c>
      <c r="K64" s="13"/>
      <c r="L64" s="13" t="s">
        <v>53</v>
      </c>
      <c r="M64" s="13" t="s">
        <v>46</v>
      </c>
      <c r="N64" s="13"/>
    </row>
    <row r="65" customFormat="false" ht="64.9" hidden="false" customHeight="false" outlineLevel="0" collapsed="false">
      <c r="A65" s="12" t="n">
        <v>64</v>
      </c>
      <c r="B65" s="13" t="s">
        <v>361</v>
      </c>
      <c r="C65" s="13" t="s">
        <v>87</v>
      </c>
      <c r="D65" s="13" t="s">
        <v>362</v>
      </c>
      <c r="E65" s="13" t="s">
        <v>363</v>
      </c>
      <c r="F65" s="13" t="s">
        <v>364</v>
      </c>
      <c r="G65" s="13" t="s">
        <v>43</v>
      </c>
      <c r="H65" s="14" t="n">
        <v>1500</v>
      </c>
      <c r="I65" s="14" t="n">
        <v>0</v>
      </c>
      <c r="J65" s="13" t="s">
        <v>365</v>
      </c>
      <c r="K65" s="13"/>
      <c r="L65" s="13" t="s">
        <v>53</v>
      </c>
      <c r="M65" s="13" t="s">
        <v>46</v>
      </c>
      <c r="N65" s="13"/>
    </row>
    <row r="66" customFormat="false" ht="64.9" hidden="false" customHeight="false" outlineLevel="0" collapsed="false">
      <c r="A66" s="12" t="n">
        <v>65</v>
      </c>
      <c r="B66" s="13" t="s">
        <v>366</v>
      </c>
      <c r="C66" s="13" t="s">
        <v>93</v>
      </c>
      <c r="D66" s="13" t="s">
        <v>367</v>
      </c>
      <c r="E66" s="13" t="s">
        <v>368</v>
      </c>
      <c r="F66" s="13" t="s">
        <v>369</v>
      </c>
      <c r="G66" s="13" t="s">
        <v>43</v>
      </c>
      <c r="H66" s="14" t="n">
        <v>1500</v>
      </c>
      <c r="I66" s="14" t="n">
        <v>0</v>
      </c>
      <c r="J66" s="13" t="s">
        <v>370</v>
      </c>
      <c r="K66" s="13"/>
      <c r="L66" s="13" t="s">
        <v>53</v>
      </c>
      <c r="M66" s="13" t="s">
        <v>46</v>
      </c>
      <c r="N66" s="13"/>
    </row>
    <row r="67" customFormat="false" ht="64.9" hidden="false" customHeight="false" outlineLevel="0" collapsed="false">
      <c r="A67" s="12" t="n">
        <v>66</v>
      </c>
      <c r="B67" s="13" t="s">
        <v>371</v>
      </c>
      <c r="C67" s="13" t="s">
        <v>125</v>
      </c>
      <c r="D67" s="13" t="s">
        <v>372</v>
      </c>
      <c r="E67" s="13" t="s">
        <v>373</v>
      </c>
      <c r="F67" s="13" t="s">
        <v>374</v>
      </c>
      <c r="G67" s="13" t="s">
        <v>43</v>
      </c>
      <c r="H67" s="14" t="n">
        <v>1800</v>
      </c>
      <c r="I67" s="14" t="n">
        <v>0</v>
      </c>
      <c r="J67" s="13" t="s">
        <v>375</v>
      </c>
      <c r="K67" s="13"/>
      <c r="L67" s="13" t="s">
        <v>45</v>
      </c>
      <c r="M67" s="13" t="s">
        <v>46</v>
      </c>
      <c r="N67" s="13"/>
    </row>
    <row r="68" customFormat="false" ht="64.9" hidden="false" customHeight="false" outlineLevel="0" collapsed="false">
      <c r="A68" s="12" t="n">
        <v>67</v>
      </c>
      <c r="B68" s="13" t="s">
        <v>376</v>
      </c>
      <c r="C68" s="13" t="s">
        <v>263</v>
      </c>
      <c r="D68" s="13" t="s">
        <v>377</v>
      </c>
      <c r="E68" s="13" t="s">
        <v>378</v>
      </c>
      <c r="F68" s="13" t="s">
        <v>379</v>
      </c>
      <c r="G68" s="13" t="s">
        <v>43</v>
      </c>
      <c r="H68" s="14" t="n">
        <v>1800</v>
      </c>
      <c r="I68" s="14" t="n">
        <v>0</v>
      </c>
      <c r="J68" s="13" t="s">
        <v>380</v>
      </c>
      <c r="K68" s="13"/>
      <c r="L68" s="13" t="s">
        <v>45</v>
      </c>
      <c r="M68" s="13" t="s">
        <v>46</v>
      </c>
      <c r="N68" s="13"/>
    </row>
    <row r="69" customFormat="false" ht="64.9" hidden="false" customHeight="false" outlineLevel="0" collapsed="false">
      <c r="A69" s="12" t="n">
        <v>68</v>
      </c>
      <c r="B69" s="13" t="s">
        <v>381</v>
      </c>
      <c r="C69" s="13" t="s">
        <v>55</v>
      </c>
      <c r="D69" s="13" t="s">
        <v>382</v>
      </c>
      <c r="E69" s="13" t="s">
        <v>383</v>
      </c>
      <c r="F69" s="13" t="s">
        <v>384</v>
      </c>
      <c r="G69" s="13" t="s">
        <v>43</v>
      </c>
      <c r="H69" s="14" t="n">
        <v>1500</v>
      </c>
      <c r="I69" s="14" t="n">
        <v>0</v>
      </c>
      <c r="J69" s="13" t="s">
        <v>385</v>
      </c>
      <c r="K69" s="13"/>
      <c r="L69" s="13" t="s">
        <v>53</v>
      </c>
      <c r="M69" s="13" t="s">
        <v>46</v>
      </c>
      <c r="N69" s="13"/>
    </row>
    <row r="70" customFormat="false" ht="64.9" hidden="false" customHeight="false" outlineLevel="0" collapsed="false">
      <c r="A70" s="12" t="n">
        <v>69</v>
      </c>
      <c r="B70" s="13" t="s">
        <v>386</v>
      </c>
      <c r="C70" s="13" t="s">
        <v>87</v>
      </c>
      <c r="D70" s="13" t="s">
        <v>387</v>
      </c>
      <c r="E70" s="13" t="s">
        <v>388</v>
      </c>
      <c r="F70" s="13" t="s">
        <v>389</v>
      </c>
      <c r="G70" s="13" t="s">
        <v>43</v>
      </c>
      <c r="H70" s="14" t="n">
        <v>1500</v>
      </c>
      <c r="I70" s="14" t="n">
        <v>0</v>
      </c>
      <c r="J70" s="13" t="s">
        <v>390</v>
      </c>
      <c r="K70" s="13"/>
      <c r="L70" s="13" t="s">
        <v>53</v>
      </c>
      <c r="M70" s="13" t="s">
        <v>46</v>
      </c>
      <c r="N70" s="13"/>
    </row>
    <row r="71" customFormat="false" ht="64.9" hidden="false" customHeight="false" outlineLevel="0" collapsed="false">
      <c r="A71" s="12" t="n">
        <v>70</v>
      </c>
      <c r="B71" s="13" t="s">
        <v>391</v>
      </c>
      <c r="C71" s="13" t="s">
        <v>81</v>
      </c>
      <c r="D71" s="13" t="s">
        <v>392</v>
      </c>
      <c r="E71" s="13" t="s">
        <v>393</v>
      </c>
      <c r="F71" s="13" t="s">
        <v>394</v>
      </c>
      <c r="G71" s="13" t="s">
        <v>43</v>
      </c>
      <c r="H71" s="14" t="n">
        <v>1500</v>
      </c>
      <c r="I71" s="14" t="n">
        <v>0</v>
      </c>
      <c r="J71" s="13" t="s">
        <v>395</v>
      </c>
      <c r="K71" s="13"/>
      <c r="L71" s="13" t="s">
        <v>53</v>
      </c>
      <c r="M71" s="13" t="s">
        <v>46</v>
      </c>
      <c r="N71" s="13"/>
    </row>
    <row r="72" customFormat="false" ht="39.55" hidden="false" customHeight="false" outlineLevel="0" collapsed="false">
      <c r="A72" s="16" t="n">
        <v>71</v>
      </c>
      <c r="B72" s="17" t="s">
        <v>396</v>
      </c>
      <c r="C72" s="17" t="s">
        <v>93</v>
      </c>
      <c r="D72" s="17" t="s">
        <v>397</v>
      </c>
      <c r="E72" s="17" t="s">
        <v>398</v>
      </c>
      <c r="F72" s="17" t="s">
        <v>399</v>
      </c>
      <c r="G72" s="17" t="s">
        <v>43</v>
      </c>
      <c r="H72" s="18" t="n">
        <v>1500</v>
      </c>
      <c r="I72" s="18" t="n">
        <v>0</v>
      </c>
      <c r="J72" s="17" t="s">
        <v>400</v>
      </c>
      <c r="K72" s="17"/>
      <c r="L72" s="17" t="s">
        <v>53</v>
      </c>
      <c r="M72" s="17" t="s">
        <v>46</v>
      </c>
      <c r="N72" s="17"/>
    </row>
    <row r="73" customFormat="false" ht="39.55" hidden="false" customHeight="false" outlineLevel="0" collapsed="false">
      <c r="A73" s="16" t="n">
        <v>72</v>
      </c>
      <c r="B73" s="17" t="s">
        <v>401</v>
      </c>
      <c r="C73" s="17" t="s">
        <v>402</v>
      </c>
      <c r="D73" s="17" t="s">
        <v>403</v>
      </c>
      <c r="E73" s="17" t="s">
        <v>404</v>
      </c>
      <c r="F73" s="17" t="s">
        <v>405</v>
      </c>
      <c r="G73" s="17" t="s">
        <v>43</v>
      </c>
      <c r="H73" s="18" t="n">
        <v>1500</v>
      </c>
      <c r="I73" s="18" t="n">
        <v>0</v>
      </c>
      <c r="J73" s="17" t="s">
        <v>406</v>
      </c>
      <c r="K73" s="17"/>
      <c r="L73" s="17" t="s">
        <v>53</v>
      </c>
      <c r="M73" s="17" t="s">
        <v>46</v>
      </c>
      <c r="N73" s="17"/>
    </row>
    <row r="74" customFormat="false" ht="39.55" hidden="false" customHeight="false" outlineLevel="0" collapsed="false">
      <c r="A74" s="16" t="n">
        <v>73</v>
      </c>
      <c r="B74" s="17" t="s">
        <v>407</v>
      </c>
      <c r="C74" s="17" t="s">
        <v>278</v>
      </c>
      <c r="D74" s="17" t="s">
        <v>408</v>
      </c>
      <c r="E74" s="17" t="s">
        <v>409</v>
      </c>
      <c r="F74" s="17" t="s">
        <v>410</v>
      </c>
      <c r="G74" s="17" t="s">
        <v>43</v>
      </c>
      <c r="H74" s="18" t="n">
        <v>1800</v>
      </c>
      <c r="I74" s="18" t="n">
        <v>0</v>
      </c>
      <c r="J74" s="17" t="s">
        <v>411</v>
      </c>
      <c r="K74" s="17"/>
      <c r="L74" s="17" t="s">
        <v>45</v>
      </c>
      <c r="M74" s="17" t="s">
        <v>46</v>
      </c>
      <c r="N74" s="17"/>
    </row>
    <row r="75" customFormat="false" ht="26.85" hidden="false" customHeight="false" outlineLevel="0" collapsed="false">
      <c r="A75" s="16" t="n">
        <v>74</v>
      </c>
      <c r="B75" s="17" t="s">
        <v>412</v>
      </c>
      <c r="C75" s="17" t="s">
        <v>191</v>
      </c>
      <c r="D75" s="17" t="s">
        <v>413</v>
      </c>
      <c r="E75" s="17" t="s">
        <v>414</v>
      </c>
      <c r="F75" s="17" t="s">
        <v>415</v>
      </c>
      <c r="G75" s="17" t="s">
        <v>43</v>
      </c>
      <c r="H75" s="18" t="n">
        <v>1800</v>
      </c>
      <c r="I75" s="18" t="n">
        <v>0</v>
      </c>
      <c r="J75" s="17" t="s">
        <v>416</v>
      </c>
      <c r="K75" s="17"/>
      <c r="L75" s="17" t="s">
        <v>45</v>
      </c>
      <c r="M75" s="17" t="s">
        <v>46</v>
      </c>
      <c r="N75" s="17"/>
    </row>
    <row r="76" customFormat="false" ht="26.85" hidden="false" customHeight="false" outlineLevel="0" collapsed="false">
      <c r="A76" s="16" t="n">
        <v>75</v>
      </c>
      <c r="B76" s="17" t="s">
        <v>417</v>
      </c>
      <c r="C76" s="17" t="s">
        <v>55</v>
      </c>
      <c r="D76" s="17" t="s">
        <v>418</v>
      </c>
      <c r="E76" s="17" t="s">
        <v>419</v>
      </c>
      <c r="F76" s="17" t="s">
        <v>420</v>
      </c>
      <c r="G76" s="17" t="s">
        <v>43</v>
      </c>
      <c r="H76" s="18" t="n">
        <v>1500</v>
      </c>
      <c r="I76" s="18" t="n">
        <v>0</v>
      </c>
      <c r="J76" s="17" t="s">
        <v>421</v>
      </c>
      <c r="K76" s="17"/>
      <c r="L76" s="17" t="s">
        <v>53</v>
      </c>
      <c r="M76" s="17" t="s">
        <v>46</v>
      </c>
      <c r="N76" s="17"/>
    </row>
    <row r="77" customFormat="false" ht="26.85" hidden="false" customHeight="false" outlineLevel="0" collapsed="false">
      <c r="A77" s="16" t="n">
        <v>76</v>
      </c>
      <c r="B77" s="17" t="s">
        <v>422</v>
      </c>
      <c r="C77" s="17" t="s">
        <v>125</v>
      </c>
      <c r="D77" s="17" t="s">
        <v>423</v>
      </c>
      <c r="E77" s="17" t="s">
        <v>424</v>
      </c>
      <c r="F77" s="17" t="s">
        <v>425</v>
      </c>
      <c r="G77" s="17" t="s">
        <v>43</v>
      </c>
      <c r="H77" s="18" t="n">
        <v>1800</v>
      </c>
      <c r="I77" s="18" t="n">
        <v>0</v>
      </c>
      <c r="J77" s="17" t="s">
        <v>426</v>
      </c>
      <c r="K77" s="17"/>
      <c r="L77" s="17" t="s">
        <v>45</v>
      </c>
      <c r="M77" s="17" t="s">
        <v>46</v>
      </c>
      <c r="N77" s="17"/>
    </row>
    <row r="78" customFormat="false" ht="39.55" hidden="false" customHeight="false" outlineLevel="0" collapsed="false">
      <c r="A78" s="16" t="n">
        <v>77</v>
      </c>
      <c r="B78" s="17" t="s">
        <v>427</v>
      </c>
      <c r="C78" s="17" t="s">
        <v>136</v>
      </c>
      <c r="D78" s="17" t="s">
        <v>428</v>
      </c>
      <c r="E78" s="17" t="s">
        <v>429</v>
      </c>
      <c r="F78" s="17" t="s">
        <v>430</v>
      </c>
      <c r="G78" s="17" t="s">
        <v>43</v>
      </c>
      <c r="H78" s="18" t="n">
        <v>1800</v>
      </c>
      <c r="I78" s="18" t="n">
        <v>0</v>
      </c>
      <c r="J78" s="17" t="s">
        <v>431</v>
      </c>
      <c r="K78" s="17"/>
      <c r="L78" s="17" t="s">
        <v>45</v>
      </c>
      <c r="M78" s="17" t="s">
        <v>46</v>
      </c>
      <c r="N78" s="17"/>
    </row>
    <row r="79" customFormat="false" ht="26.85" hidden="false" customHeight="false" outlineLevel="0" collapsed="false">
      <c r="A79" s="16" t="n">
        <v>78</v>
      </c>
      <c r="B79" s="17" t="s">
        <v>432</v>
      </c>
      <c r="C79" s="17" t="s">
        <v>433</v>
      </c>
      <c r="D79" s="17" t="s">
        <v>434</v>
      </c>
      <c r="E79" s="17" t="s">
        <v>435</v>
      </c>
      <c r="F79" s="17" t="s">
        <v>436</v>
      </c>
      <c r="G79" s="17" t="s">
        <v>43</v>
      </c>
      <c r="H79" s="18" t="n">
        <v>1500</v>
      </c>
      <c r="I79" s="18" t="n">
        <v>0</v>
      </c>
      <c r="J79" s="17" t="s">
        <v>437</v>
      </c>
      <c r="K79" s="17"/>
      <c r="L79" s="17" t="s">
        <v>53</v>
      </c>
      <c r="M79" s="17" t="s">
        <v>46</v>
      </c>
      <c r="N79" s="17"/>
    </row>
    <row r="80" customFormat="false" ht="26.85" hidden="false" customHeight="false" outlineLevel="0" collapsed="false">
      <c r="A80" s="16" t="n">
        <v>79</v>
      </c>
      <c r="B80" s="17" t="s">
        <v>438</v>
      </c>
      <c r="C80" s="17" t="s">
        <v>402</v>
      </c>
      <c r="D80" s="17" t="s">
        <v>439</v>
      </c>
      <c r="E80" s="17" t="s">
        <v>440</v>
      </c>
      <c r="F80" s="17" t="s">
        <v>441</v>
      </c>
      <c r="G80" s="17" t="s">
        <v>43</v>
      </c>
      <c r="H80" s="18" t="n">
        <v>1500</v>
      </c>
      <c r="I80" s="18" t="n">
        <v>0</v>
      </c>
      <c r="J80" s="17" t="s">
        <v>442</v>
      </c>
      <c r="K80" s="17"/>
      <c r="L80" s="17" t="s">
        <v>53</v>
      </c>
      <c r="M80" s="17" t="s">
        <v>46</v>
      </c>
      <c r="N80" s="17"/>
    </row>
    <row r="81" customFormat="false" ht="39.55" hidden="false" customHeight="false" outlineLevel="0" collapsed="false">
      <c r="A81" s="16" t="n">
        <v>80</v>
      </c>
      <c r="B81" s="17" t="s">
        <v>443</v>
      </c>
      <c r="C81" s="17" t="s">
        <v>125</v>
      </c>
      <c r="D81" s="17" t="s">
        <v>444</v>
      </c>
      <c r="E81" s="17" t="s">
        <v>445</v>
      </c>
      <c r="F81" s="17" t="s">
        <v>446</v>
      </c>
      <c r="G81" s="17" t="s">
        <v>43</v>
      </c>
      <c r="H81" s="18" t="n">
        <v>1800</v>
      </c>
      <c r="I81" s="18" t="n">
        <v>0</v>
      </c>
      <c r="J81" s="17" t="s">
        <v>447</v>
      </c>
      <c r="K81" s="17"/>
      <c r="L81" s="17" t="s">
        <v>45</v>
      </c>
      <c r="M81" s="17" t="s">
        <v>46</v>
      </c>
      <c r="N81" s="17"/>
    </row>
    <row r="82" customFormat="false" ht="39.55" hidden="false" customHeight="false" outlineLevel="0" collapsed="false">
      <c r="A82" s="16" t="n">
        <v>81</v>
      </c>
      <c r="B82" s="17" t="s">
        <v>448</v>
      </c>
      <c r="C82" s="17" t="s">
        <v>173</v>
      </c>
      <c r="D82" s="17" t="s">
        <v>449</v>
      </c>
      <c r="E82" s="17" t="s">
        <v>450</v>
      </c>
      <c r="F82" s="17" t="s">
        <v>451</v>
      </c>
      <c r="G82" s="17" t="s">
        <v>43</v>
      </c>
      <c r="H82" s="18" t="n">
        <v>1800</v>
      </c>
      <c r="I82" s="18" t="n">
        <v>0</v>
      </c>
      <c r="J82" s="17" t="s">
        <v>452</v>
      </c>
      <c r="K82" s="17"/>
      <c r="L82" s="17" t="s">
        <v>45</v>
      </c>
      <c r="M82" s="17" t="s">
        <v>46</v>
      </c>
      <c r="N82" s="17"/>
    </row>
    <row r="83" customFormat="false" ht="26.85" hidden="false" customHeight="false" outlineLevel="0" collapsed="false">
      <c r="A83" s="16" t="n">
        <v>82</v>
      </c>
      <c r="B83" s="17" t="s">
        <v>453</v>
      </c>
      <c r="C83" s="17" t="s">
        <v>136</v>
      </c>
      <c r="D83" s="17" t="s">
        <v>454</v>
      </c>
      <c r="E83" s="17" t="s">
        <v>455</v>
      </c>
      <c r="F83" s="17" t="s">
        <v>456</v>
      </c>
      <c r="G83" s="17" t="s">
        <v>43</v>
      </c>
      <c r="H83" s="18" t="n">
        <v>1800</v>
      </c>
      <c r="I83" s="18" t="n">
        <v>0</v>
      </c>
      <c r="J83" s="17" t="s">
        <v>457</v>
      </c>
      <c r="K83" s="17"/>
      <c r="L83" s="17" t="s">
        <v>45</v>
      </c>
      <c r="M83" s="17" t="s">
        <v>46</v>
      </c>
      <c r="N83" s="17"/>
    </row>
    <row r="84" customFormat="false" ht="64.9" hidden="false" customHeight="false" outlineLevel="0" collapsed="false">
      <c r="A84" s="16" t="n">
        <v>83</v>
      </c>
      <c r="B84" s="17" t="s">
        <v>458</v>
      </c>
      <c r="C84" s="17" t="s">
        <v>224</v>
      </c>
      <c r="D84" s="17" t="s">
        <v>459</v>
      </c>
      <c r="E84" s="17" t="s">
        <v>460</v>
      </c>
      <c r="F84" s="17" t="s">
        <v>461</v>
      </c>
      <c r="G84" s="17" t="s">
        <v>43</v>
      </c>
      <c r="H84" s="18" t="n">
        <v>1800</v>
      </c>
      <c r="I84" s="18" t="n">
        <v>0</v>
      </c>
      <c r="J84" s="17" t="s">
        <v>462</v>
      </c>
      <c r="K84" s="17"/>
      <c r="L84" s="17" t="s">
        <v>45</v>
      </c>
      <c r="M84" s="17" t="s">
        <v>46</v>
      </c>
      <c r="N84" s="17"/>
    </row>
    <row r="85" customFormat="false" ht="26.85" hidden="false" customHeight="false" outlineLevel="0" collapsed="false">
      <c r="A85" s="16" t="n">
        <v>84</v>
      </c>
      <c r="B85" s="17" t="s">
        <v>463</v>
      </c>
      <c r="C85" s="17" t="s">
        <v>39</v>
      </c>
      <c r="D85" s="17" t="s">
        <v>464</v>
      </c>
      <c r="E85" s="17" t="s">
        <v>465</v>
      </c>
      <c r="F85" s="17" t="s">
        <v>466</v>
      </c>
      <c r="G85" s="17" t="s">
        <v>43</v>
      </c>
      <c r="H85" s="18" t="n">
        <v>1800</v>
      </c>
      <c r="I85" s="18" t="n">
        <v>0</v>
      </c>
      <c r="J85" s="17" t="s">
        <v>467</v>
      </c>
      <c r="K85" s="17"/>
      <c r="L85" s="17" t="s">
        <v>45</v>
      </c>
      <c r="M85" s="17" t="s">
        <v>46</v>
      </c>
      <c r="N85" s="17"/>
    </row>
    <row r="86" customFormat="false" ht="26.85" hidden="false" customHeight="false" outlineLevel="0" collapsed="false">
      <c r="A86" s="16" t="n">
        <v>85</v>
      </c>
      <c r="B86" s="17" t="s">
        <v>468</v>
      </c>
      <c r="C86" s="17" t="s">
        <v>125</v>
      </c>
      <c r="D86" s="17" t="s">
        <v>469</v>
      </c>
      <c r="E86" s="17" t="s">
        <v>470</v>
      </c>
      <c r="F86" s="17" t="s">
        <v>471</v>
      </c>
      <c r="G86" s="17" t="s">
        <v>43</v>
      </c>
      <c r="H86" s="18" t="n">
        <v>1800</v>
      </c>
      <c r="I86" s="18" t="n">
        <v>0</v>
      </c>
      <c r="J86" s="17" t="s">
        <v>472</v>
      </c>
      <c r="K86" s="17"/>
      <c r="L86" s="17" t="s">
        <v>45</v>
      </c>
      <c r="M86" s="17" t="s">
        <v>46</v>
      </c>
      <c r="N86" s="17"/>
    </row>
    <row r="87" customFormat="false" ht="39.55" hidden="false" customHeight="false" outlineLevel="0" collapsed="false">
      <c r="A87" s="16" t="n">
        <v>86</v>
      </c>
      <c r="B87" s="17" t="s">
        <v>473</v>
      </c>
      <c r="C87" s="17" t="s">
        <v>109</v>
      </c>
      <c r="D87" s="17" t="s">
        <v>474</v>
      </c>
      <c r="E87" s="17" t="s">
        <v>475</v>
      </c>
      <c r="F87" s="17" t="s">
        <v>476</v>
      </c>
      <c r="G87" s="17" t="s">
        <v>43</v>
      </c>
      <c r="H87" s="18" t="n">
        <v>1800</v>
      </c>
      <c r="I87" s="18" t="n">
        <v>0</v>
      </c>
      <c r="J87" s="17" t="s">
        <v>477</v>
      </c>
      <c r="K87" s="17"/>
      <c r="L87" s="17" t="s">
        <v>45</v>
      </c>
      <c r="M87" s="17" t="s">
        <v>46</v>
      </c>
      <c r="N87" s="17"/>
    </row>
    <row r="88" customFormat="false" ht="26.85" hidden="false" customHeight="false" outlineLevel="0" collapsed="false">
      <c r="A88" s="16" t="n">
        <v>87</v>
      </c>
      <c r="B88" s="17" t="s">
        <v>478</v>
      </c>
      <c r="C88" s="17" t="s">
        <v>136</v>
      </c>
      <c r="D88" s="17" t="s">
        <v>479</v>
      </c>
      <c r="E88" s="17" t="s">
        <v>480</v>
      </c>
      <c r="F88" s="17" t="s">
        <v>481</v>
      </c>
      <c r="G88" s="17" t="s">
        <v>43</v>
      </c>
      <c r="H88" s="18" t="n">
        <v>1800</v>
      </c>
      <c r="I88" s="18" t="n">
        <v>0</v>
      </c>
      <c r="J88" s="17" t="s">
        <v>482</v>
      </c>
      <c r="K88" s="17"/>
      <c r="L88" s="17" t="s">
        <v>45</v>
      </c>
      <c r="M88" s="17" t="s">
        <v>46</v>
      </c>
      <c r="N88" s="17"/>
    </row>
    <row r="89" customFormat="false" ht="26.85" hidden="false" customHeight="false" outlineLevel="0" collapsed="false">
      <c r="A89" s="16" t="n">
        <v>88</v>
      </c>
      <c r="B89" s="17" t="s">
        <v>483</v>
      </c>
      <c r="C89" s="17" t="s">
        <v>433</v>
      </c>
      <c r="D89" s="17" t="s">
        <v>484</v>
      </c>
      <c r="E89" s="17" t="s">
        <v>485</v>
      </c>
      <c r="F89" s="17" t="s">
        <v>486</v>
      </c>
      <c r="G89" s="17" t="s">
        <v>43</v>
      </c>
      <c r="H89" s="18" t="n">
        <v>1500</v>
      </c>
      <c r="I89" s="18" t="n">
        <v>0</v>
      </c>
      <c r="J89" s="17" t="s">
        <v>487</v>
      </c>
      <c r="K89" s="17"/>
      <c r="L89" s="17" t="s">
        <v>53</v>
      </c>
      <c r="M89" s="17" t="s">
        <v>46</v>
      </c>
      <c r="N89" s="17"/>
    </row>
    <row r="90" customFormat="false" ht="39.55" hidden="false" customHeight="false" outlineLevel="0" collapsed="false">
      <c r="A90" s="16" t="n">
        <v>89</v>
      </c>
      <c r="B90" s="17" t="s">
        <v>488</v>
      </c>
      <c r="C90" s="17" t="s">
        <v>489</v>
      </c>
      <c r="D90" s="17" t="s">
        <v>490</v>
      </c>
      <c r="E90" s="17" t="s">
        <v>491</v>
      </c>
      <c r="F90" s="17" t="s">
        <v>492</v>
      </c>
      <c r="G90" s="17" t="s">
        <v>43</v>
      </c>
      <c r="H90" s="18" t="n">
        <v>1800</v>
      </c>
      <c r="I90" s="18" t="n">
        <v>0</v>
      </c>
      <c r="J90" s="17" t="s">
        <v>493</v>
      </c>
      <c r="K90" s="17"/>
      <c r="L90" s="17" t="s">
        <v>45</v>
      </c>
      <c r="M90" s="17" t="s">
        <v>46</v>
      </c>
      <c r="N90" s="17"/>
    </row>
    <row r="91" customFormat="false" ht="39.55" hidden="false" customHeight="false" outlineLevel="0" collapsed="false">
      <c r="A91" s="16" t="n">
        <v>90</v>
      </c>
      <c r="B91" s="17" t="s">
        <v>494</v>
      </c>
      <c r="C91" s="17" t="s">
        <v>191</v>
      </c>
      <c r="D91" s="17" t="s">
        <v>495</v>
      </c>
      <c r="E91" s="17" t="s">
        <v>496</v>
      </c>
      <c r="F91" s="17" t="s">
        <v>497</v>
      </c>
      <c r="G91" s="17" t="s">
        <v>43</v>
      </c>
      <c r="H91" s="18" t="n">
        <v>1800</v>
      </c>
      <c r="I91" s="18" t="n">
        <v>0</v>
      </c>
      <c r="J91" s="17" t="s">
        <v>498</v>
      </c>
      <c r="K91" s="17"/>
      <c r="L91" s="17" t="s">
        <v>45</v>
      </c>
      <c r="M91" s="17" t="s">
        <v>46</v>
      </c>
      <c r="N91" s="17"/>
    </row>
    <row r="92" customFormat="false" ht="26.85" hidden="false" customHeight="false" outlineLevel="0" collapsed="false">
      <c r="A92" s="16" t="n">
        <v>91</v>
      </c>
      <c r="B92" s="17" t="s">
        <v>499</v>
      </c>
      <c r="C92" s="17" t="s">
        <v>489</v>
      </c>
      <c r="D92" s="17" t="s">
        <v>500</v>
      </c>
      <c r="E92" s="17" t="s">
        <v>501</v>
      </c>
      <c r="F92" s="17" t="s">
        <v>502</v>
      </c>
      <c r="G92" s="17" t="s">
        <v>43</v>
      </c>
      <c r="H92" s="18" t="n">
        <v>1800</v>
      </c>
      <c r="I92" s="18" t="n">
        <v>0</v>
      </c>
      <c r="J92" s="17" t="s">
        <v>503</v>
      </c>
      <c r="K92" s="17"/>
      <c r="L92" s="17" t="s">
        <v>45</v>
      </c>
      <c r="M92" s="17" t="s">
        <v>46</v>
      </c>
      <c r="N92" s="17"/>
    </row>
    <row r="93" customFormat="false" ht="39.55" hidden="false" customHeight="false" outlineLevel="0" collapsed="false">
      <c r="A93" s="16" t="n">
        <v>92</v>
      </c>
      <c r="B93" s="17" t="s">
        <v>504</v>
      </c>
      <c r="C93" s="17" t="s">
        <v>489</v>
      </c>
      <c r="D93" s="17" t="s">
        <v>505</v>
      </c>
      <c r="E93" s="17" t="s">
        <v>506</v>
      </c>
      <c r="F93" s="17" t="s">
        <v>507</v>
      </c>
      <c r="G93" s="17" t="s">
        <v>43</v>
      </c>
      <c r="H93" s="18" t="n">
        <v>1800</v>
      </c>
      <c r="I93" s="18" t="n">
        <v>0</v>
      </c>
      <c r="J93" s="17" t="s">
        <v>508</v>
      </c>
      <c r="K93" s="17"/>
      <c r="L93" s="17" t="s">
        <v>45</v>
      </c>
      <c r="M93" s="17" t="s">
        <v>46</v>
      </c>
      <c r="N93" s="17"/>
    </row>
    <row r="94" customFormat="false" ht="26.85" hidden="false" customHeight="false" outlineLevel="0" collapsed="false">
      <c r="A94" s="16" t="n">
        <v>93</v>
      </c>
      <c r="B94" s="17" t="s">
        <v>509</v>
      </c>
      <c r="C94" s="17" t="s">
        <v>55</v>
      </c>
      <c r="D94" s="17" t="s">
        <v>510</v>
      </c>
      <c r="E94" s="17" t="s">
        <v>511</v>
      </c>
      <c r="F94" s="17" t="s">
        <v>512</v>
      </c>
      <c r="G94" s="17" t="s">
        <v>43</v>
      </c>
      <c r="H94" s="18" t="n">
        <v>1500</v>
      </c>
      <c r="I94" s="18" t="n">
        <v>0</v>
      </c>
      <c r="J94" s="17" t="s">
        <v>513</v>
      </c>
      <c r="K94" s="17"/>
      <c r="L94" s="17" t="s">
        <v>53</v>
      </c>
      <c r="M94" s="17" t="s">
        <v>46</v>
      </c>
      <c r="N94" s="17"/>
    </row>
    <row r="95" customFormat="false" ht="39.55" hidden="false" customHeight="false" outlineLevel="0" collapsed="false">
      <c r="A95" s="16" t="n">
        <v>94</v>
      </c>
      <c r="B95" s="17" t="s">
        <v>514</v>
      </c>
      <c r="C95" s="17" t="s">
        <v>402</v>
      </c>
      <c r="D95" s="17" t="s">
        <v>515</v>
      </c>
      <c r="E95" s="17" t="s">
        <v>516</v>
      </c>
      <c r="F95" s="17" t="s">
        <v>517</v>
      </c>
      <c r="G95" s="17" t="s">
        <v>43</v>
      </c>
      <c r="H95" s="18" t="n">
        <v>1500</v>
      </c>
      <c r="I95" s="18" t="n">
        <v>0</v>
      </c>
      <c r="J95" s="17" t="s">
        <v>513</v>
      </c>
      <c r="K95" s="17"/>
      <c r="L95" s="17" t="s">
        <v>53</v>
      </c>
      <c r="M95" s="17" t="s">
        <v>46</v>
      </c>
      <c r="N95" s="17"/>
    </row>
    <row r="96" customFormat="false" ht="39.55" hidden="false" customHeight="false" outlineLevel="0" collapsed="false">
      <c r="A96" s="16" t="n">
        <v>95</v>
      </c>
      <c r="B96" s="17" t="s">
        <v>518</v>
      </c>
      <c r="C96" s="17" t="s">
        <v>215</v>
      </c>
      <c r="D96" s="17" t="s">
        <v>519</v>
      </c>
      <c r="E96" s="17" t="s">
        <v>520</v>
      </c>
      <c r="F96" s="17" t="s">
        <v>521</v>
      </c>
      <c r="G96" s="17" t="s">
        <v>43</v>
      </c>
      <c r="H96" s="18" t="n">
        <v>1800</v>
      </c>
      <c r="I96" s="18" t="n">
        <v>0</v>
      </c>
      <c r="J96" s="17" t="s">
        <v>522</v>
      </c>
      <c r="K96" s="17"/>
      <c r="L96" s="17" t="s">
        <v>45</v>
      </c>
      <c r="M96" s="17" t="s">
        <v>46</v>
      </c>
      <c r="N96" s="17"/>
    </row>
    <row r="97" customFormat="false" ht="39.55" hidden="false" customHeight="false" outlineLevel="0" collapsed="false">
      <c r="A97" s="16" t="n">
        <v>96</v>
      </c>
      <c r="B97" s="17" t="s">
        <v>523</v>
      </c>
      <c r="C97" s="17" t="s">
        <v>173</v>
      </c>
      <c r="D97" s="17" t="s">
        <v>524</v>
      </c>
      <c r="E97" s="17" t="s">
        <v>525</v>
      </c>
      <c r="F97" s="17" t="s">
        <v>526</v>
      </c>
      <c r="G97" s="17" t="s">
        <v>43</v>
      </c>
      <c r="H97" s="18" t="n">
        <v>1800</v>
      </c>
      <c r="I97" s="18" t="n">
        <v>0</v>
      </c>
      <c r="J97" s="17" t="s">
        <v>522</v>
      </c>
      <c r="K97" s="17"/>
      <c r="L97" s="17" t="s">
        <v>45</v>
      </c>
      <c r="M97" s="17" t="s">
        <v>46</v>
      </c>
      <c r="N97" s="17"/>
    </row>
    <row r="98" customFormat="false" ht="26.85" hidden="false" customHeight="false" outlineLevel="0" collapsed="false">
      <c r="A98" s="16" t="n">
        <v>97</v>
      </c>
      <c r="B98" s="17" t="s">
        <v>527</v>
      </c>
      <c r="C98" s="17" t="s">
        <v>433</v>
      </c>
      <c r="D98" s="17" t="s">
        <v>528</v>
      </c>
      <c r="E98" s="17" t="s">
        <v>529</v>
      </c>
      <c r="F98" s="17" t="s">
        <v>530</v>
      </c>
      <c r="G98" s="17" t="s">
        <v>43</v>
      </c>
      <c r="H98" s="18" t="n">
        <v>1500</v>
      </c>
      <c r="I98" s="18" t="n">
        <v>0</v>
      </c>
      <c r="J98" s="17" t="s">
        <v>522</v>
      </c>
      <c r="K98" s="17"/>
      <c r="L98" s="17" t="s">
        <v>53</v>
      </c>
      <c r="M98" s="17" t="s">
        <v>46</v>
      </c>
      <c r="N98" s="17"/>
    </row>
    <row r="99" customFormat="false" ht="39.55" hidden="false" customHeight="false" outlineLevel="0" collapsed="false">
      <c r="A99" s="16" t="n">
        <v>98</v>
      </c>
      <c r="B99" s="17" t="s">
        <v>531</v>
      </c>
      <c r="C99" s="17" t="s">
        <v>215</v>
      </c>
      <c r="D99" s="17" t="s">
        <v>532</v>
      </c>
      <c r="E99" s="17" t="s">
        <v>533</v>
      </c>
      <c r="F99" s="17" t="s">
        <v>534</v>
      </c>
      <c r="G99" s="17" t="s">
        <v>43</v>
      </c>
      <c r="H99" s="18" t="n">
        <v>1800</v>
      </c>
      <c r="I99" s="18" t="n">
        <v>0</v>
      </c>
      <c r="J99" s="17" t="s">
        <v>535</v>
      </c>
      <c r="K99" s="17"/>
      <c r="L99" s="17" t="s">
        <v>45</v>
      </c>
      <c r="M99" s="17" t="s">
        <v>46</v>
      </c>
      <c r="N99" s="17"/>
    </row>
    <row r="100" customFormat="false" ht="26.85" hidden="false" customHeight="false" outlineLevel="0" collapsed="false">
      <c r="A100" s="16" t="n">
        <v>99</v>
      </c>
      <c r="B100" s="17" t="s">
        <v>536</v>
      </c>
      <c r="C100" s="17" t="s">
        <v>402</v>
      </c>
      <c r="D100" s="17" t="s">
        <v>537</v>
      </c>
      <c r="E100" s="17" t="s">
        <v>538</v>
      </c>
      <c r="F100" s="17" t="s">
        <v>539</v>
      </c>
      <c r="G100" s="17" t="s">
        <v>43</v>
      </c>
      <c r="H100" s="18" t="n">
        <v>1500</v>
      </c>
      <c r="I100" s="18" t="n">
        <v>0</v>
      </c>
      <c r="J100" s="17" t="s">
        <v>540</v>
      </c>
      <c r="K100" s="17"/>
      <c r="L100" s="17" t="s">
        <v>53</v>
      </c>
      <c r="M100" s="17" t="s">
        <v>46</v>
      </c>
      <c r="N100" s="17"/>
    </row>
    <row r="101" customFormat="false" ht="26.85" hidden="false" customHeight="false" outlineLevel="0" collapsed="false">
      <c r="A101" s="16" t="n">
        <v>100</v>
      </c>
      <c r="B101" s="17" t="s">
        <v>541</v>
      </c>
      <c r="C101" s="17" t="s">
        <v>147</v>
      </c>
      <c r="D101" s="17" t="s">
        <v>542</v>
      </c>
      <c r="E101" s="17" t="s">
        <v>543</v>
      </c>
      <c r="F101" s="17" t="s">
        <v>544</v>
      </c>
      <c r="G101" s="17" t="s">
        <v>43</v>
      </c>
      <c r="H101" s="18" t="n">
        <v>1800</v>
      </c>
      <c r="I101" s="18" t="n">
        <v>0</v>
      </c>
      <c r="J101" s="17" t="s">
        <v>545</v>
      </c>
      <c r="K101" s="17"/>
      <c r="L101" s="17" t="s">
        <v>45</v>
      </c>
      <c r="M101" s="17" t="s">
        <v>46</v>
      </c>
      <c r="N101" s="17"/>
    </row>
    <row r="102" customFormat="false" ht="26.85" hidden="false" customHeight="false" outlineLevel="0" collapsed="false">
      <c r="A102" s="16" t="n">
        <v>101</v>
      </c>
      <c r="B102" s="17" t="s">
        <v>546</v>
      </c>
      <c r="C102" s="17" t="s">
        <v>224</v>
      </c>
      <c r="D102" s="17" t="s">
        <v>547</v>
      </c>
      <c r="E102" s="17" t="s">
        <v>548</v>
      </c>
      <c r="F102" s="17" t="s">
        <v>549</v>
      </c>
      <c r="G102" s="17" t="s">
        <v>43</v>
      </c>
      <c r="H102" s="18" t="n">
        <v>1800</v>
      </c>
      <c r="I102" s="18" t="n">
        <v>0</v>
      </c>
      <c r="J102" s="17" t="s">
        <v>550</v>
      </c>
      <c r="K102" s="17"/>
      <c r="L102" s="17" t="s">
        <v>45</v>
      </c>
      <c r="M102" s="17" t="s">
        <v>46</v>
      </c>
      <c r="N102" s="17"/>
    </row>
    <row r="103" customFormat="false" ht="26.85" hidden="false" customHeight="false" outlineLevel="0" collapsed="false">
      <c r="A103" s="16" t="n">
        <v>102</v>
      </c>
      <c r="B103" s="17" t="s">
        <v>551</v>
      </c>
      <c r="C103" s="17" t="s">
        <v>224</v>
      </c>
      <c r="D103" s="17" t="s">
        <v>552</v>
      </c>
      <c r="E103" s="17" t="s">
        <v>553</v>
      </c>
      <c r="F103" s="17" t="s">
        <v>554</v>
      </c>
      <c r="G103" s="17" t="s">
        <v>43</v>
      </c>
      <c r="H103" s="18" t="n">
        <v>1800</v>
      </c>
      <c r="I103" s="18" t="n">
        <v>0</v>
      </c>
      <c r="J103" s="17" t="s">
        <v>545</v>
      </c>
      <c r="K103" s="17"/>
      <c r="L103" s="17" t="s">
        <v>45</v>
      </c>
      <c r="M103" s="17" t="s">
        <v>46</v>
      </c>
      <c r="N103" s="17"/>
    </row>
    <row r="104" customFormat="false" ht="64.9" hidden="false" customHeight="false" outlineLevel="0" collapsed="false">
      <c r="A104" s="16" t="n">
        <v>103</v>
      </c>
      <c r="B104" s="17" t="s">
        <v>555</v>
      </c>
      <c r="C104" s="17" t="s">
        <v>200</v>
      </c>
      <c r="D104" s="17" t="s">
        <v>556</v>
      </c>
      <c r="E104" s="17" t="s">
        <v>557</v>
      </c>
      <c r="F104" s="17" t="s">
        <v>558</v>
      </c>
      <c r="G104" s="17" t="s">
        <v>43</v>
      </c>
      <c r="H104" s="18" t="n">
        <v>1800</v>
      </c>
      <c r="I104" s="18" t="n">
        <v>0</v>
      </c>
      <c r="J104" s="17" t="s">
        <v>559</v>
      </c>
      <c r="K104" s="17"/>
      <c r="L104" s="17" t="s">
        <v>45</v>
      </c>
      <c r="M104" s="17" t="s">
        <v>46</v>
      </c>
      <c r="N104" s="17"/>
    </row>
    <row r="105" customFormat="false" ht="39.55" hidden="false" customHeight="false" outlineLevel="0" collapsed="false">
      <c r="A105" s="16" t="n">
        <v>104</v>
      </c>
      <c r="B105" s="17" t="s">
        <v>560</v>
      </c>
      <c r="C105" s="17" t="s">
        <v>561</v>
      </c>
      <c r="D105" s="17" t="s">
        <v>562</v>
      </c>
      <c r="E105" s="17" t="s">
        <v>563</v>
      </c>
      <c r="F105" s="17" t="s">
        <v>564</v>
      </c>
      <c r="G105" s="17" t="s">
        <v>43</v>
      </c>
      <c r="H105" s="18" t="n">
        <v>1800</v>
      </c>
      <c r="I105" s="18" t="n">
        <v>0</v>
      </c>
      <c r="J105" s="17" t="s">
        <v>565</v>
      </c>
      <c r="K105" s="17"/>
      <c r="L105" s="17" t="s">
        <v>45</v>
      </c>
      <c r="M105" s="17" t="s">
        <v>46</v>
      </c>
      <c r="N105" s="17"/>
    </row>
    <row r="106" customFormat="false" ht="26.85" hidden="false" customHeight="false" outlineLevel="0" collapsed="false">
      <c r="A106" s="16" t="n">
        <v>105</v>
      </c>
      <c r="B106" s="17" t="s">
        <v>566</v>
      </c>
      <c r="C106" s="17" t="s">
        <v>215</v>
      </c>
      <c r="D106" s="17" t="s">
        <v>567</v>
      </c>
      <c r="E106" s="17" t="s">
        <v>568</v>
      </c>
      <c r="F106" s="17" t="s">
        <v>569</v>
      </c>
      <c r="G106" s="17" t="s">
        <v>43</v>
      </c>
      <c r="H106" s="18" t="n">
        <v>1800</v>
      </c>
      <c r="I106" s="18" t="n">
        <v>0</v>
      </c>
      <c r="J106" s="17" t="s">
        <v>570</v>
      </c>
      <c r="K106" s="17"/>
      <c r="L106" s="17" t="s">
        <v>45</v>
      </c>
      <c r="M106" s="17" t="s">
        <v>46</v>
      </c>
      <c r="N106" s="17"/>
    </row>
    <row r="107" customFormat="false" ht="26.85" hidden="false" customHeight="false" outlineLevel="0" collapsed="false">
      <c r="A107" s="16" t="n">
        <v>106</v>
      </c>
      <c r="B107" s="17" t="s">
        <v>571</v>
      </c>
      <c r="C107" s="17" t="s">
        <v>147</v>
      </c>
      <c r="D107" s="17" t="s">
        <v>572</v>
      </c>
      <c r="E107" s="17" t="s">
        <v>573</v>
      </c>
      <c r="F107" s="17" t="s">
        <v>574</v>
      </c>
      <c r="G107" s="17" t="s">
        <v>43</v>
      </c>
      <c r="H107" s="18" t="n">
        <v>1800</v>
      </c>
      <c r="I107" s="18" t="n">
        <v>0</v>
      </c>
      <c r="J107" s="17" t="s">
        <v>570</v>
      </c>
      <c r="K107" s="17"/>
      <c r="L107" s="17" t="s">
        <v>45</v>
      </c>
      <c r="M107" s="17" t="s">
        <v>46</v>
      </c>
      <c r="N107" s="17"/>
    </row>
    <row r="108" customFormat="false" ht="52.2" hidden="false" customHeight="false" outlineLevel="0" collapsed="false">
      <c r="A108" s="16" t="n">
        <v>107</v>
      </c>
      <c r="B108" s="17" t="s">
        <v>575</v>
      </c>
      <c r="C108" s="17" t="s">
        <v>200</v>
      </c>
      <c r="D108" s="17" t="s">
        <v>576</v>
      </c>
      <c r="E108" s="17" t="s">
        <v>577</v>
      </c>
      <c r="F108" s="17" t="s">
        <v>578</v>
      </c>
      <c r="G108" s="17" t="s">
        <v>43</v>
      </c>
      <c r="H108" s="18" t="n">
        <v>1800</v>
      </c>
      <c r="I108" s="18" t="n">
        <v>0</v>
      </c>
      <c r="J108" s="17" t="s">
        <v>570</v>
      </c>
      <c r="K108" s="17"/>
      <c r="L108" s="17" t="s">
        <v>45</v>
      </c>
      <c r="M108" s="17" t="s">
        <v>46</v>
      </c>
      <c r="N108" s="17"/>
    </row>
    <row r="109" customFormat="false" ht="39.55" hidden="false" customHeight="false" outlineLevel="0" collapsed="false">
      <c r="A109" s="16" t="n">
        <v>108</v>
      </c>
      <c r="B109" s="17" t="s">
        <v>579</v>
      </c>
      <c r="C109" s="17" t="s">
        <v>580</v>
      </c>
      <c r="D109" s="17" t="s">
        <v>581</v>
      </c>
      <c r="E109" s="17" t="s">
        <v>582</v>
      </c>
      <c r="F109" s="17" t="s">
        <v>583</v>
      </c>
      <c r="G109" s="17" t="s">
        <v>43</v>
      </c>
      <c r="H109" s="18" t="n">
        <v>1800</v>
      </c>
      <c r="I109" s="18" t="n">
        <v>0</v>
      </c>
      <c r="J109" s="17" t="s">
        <v>584</v>
      </c>
      <c r="K109" s="17"/>
      <c r="L109" s="17" t="s">
        <v>45</v>
      </c>
      <c r="M109" s="17" t="s">
        <v>46</v>
      </c>
      <c r="N109" s="17"/>
    </row>
    <row r="110" customFormat="false" ht="26.85" hidden="false" customHeight="false" outlineLevel="0" collapsed="false">
      <c r="A110" s="16" t="n">
        <v>109</v>
      </c>
      <c r="B110" s="17" t="s">
        <v>585</v>
      </c>
      <c r="C110" s="17" t="s">
        <v>81</v>
      </c>
      <c r="D110" s="17" t="s">
        <v>586</v>
      </c>
      <c r="E110" s="17" t="s">
        <v>587</v>
      </c>
      <c r="F110" s="17" t="s">
        <v>588</v>
      </c>
      <c r="G110" s="17" t="s">
        <v>43</v>
      </c>
      <c r="H110" s="18" t="n">
        <v>1500</v>
      </c>
      <c r="I110" s="18" t="n">
        <v>0</v>
      </c>
      <c r="J110" s="17" t="s">
        <v>589</v>
      </c>
      <c r="K110" s="17"/>
      <c r="L110" s="17" t="s">
        <v>53</v>
      </c>
      <c r="M110" s="17" t="s">
        <v>46</v>
      </c>
      <c r="N110" s="17"/>
    </row>
    <row r="111" customFormat="false" ht="39.55" hidden="false" customHeight="false" outlineLevel="0" collapsed="false">
      <c r="A111" s="16" t="n">
        <v>110</v>
      </c>
      <c r="B111" s="17" t="s">
        <v>590</v>
      </c>
      <c r="C111" s="17" t="s">
        <v>147</v>
      </c>
      <c r="D111" s="17" t="s">
        <v>591</v>
      </c>
      <c r="E111" s="17" t="s">
        <v>592</v>
      </c>
      <c r="F111" s="17" t="s">
        <v>593</v>
      </c>
      <c r="G111" s="17" t="s">
        <v>43</v>
      </c>
      <c r="H111" s="18" t="n">
        <v>1800</v>
      </c>
      <c r="I111" s="18" t="n">
        <v>0</v>
      </c>
      <c r="J111" s="17" t="s">
        <v>594</v>
      </c>
      <c r="K111" s="17"/>
      <c r="L111" s="17" t="s">
        <v>45</v>
      </c>
      <c r="M111" s="17" t="s">
        <v>46</v>
      </c>
      <c r="N111" s="17"/>
    </row>
    <row r="112" customFormat="false" ht="26.85" hidden="false" customHeight="false" outlineLevel="0" collapsed="false">
      <c r="A112" s="16" t="n">
        <v>111</v>
      </c>
      <c r="B112" s="17" t="s">
        <v>595</v>
      </c>
      <c r="C112" s="17" t="s">
        <v>489</v>
      </c>
      <c r="D112" s="17" t="s">
        <v>596</v>
      </c>
      <c r="E112" s="17" t="s">
        <v>597</v>
      </c>
      <c r="F112" s="17" t="s">
        <v>598</v>
      </c>
      <c r="G112" s="17" t="s">
        <v>43</v>
      </c>
      <c r="H112" s="18" t="n">
        <v>1800</v>
      </c>
      <c r="I112" s="18" t="n">
        <v>0</v>
      </c>
      <c r="J112" s="17" t="s">
        <v>599</v>
      </c>
      <c r="K112" s="17"/>
      <c r="L112" s="17" t="s">
        <v>45</v>
      </c>
      <c r="M112" s="17" t="s">
        <v>46</v>
      </c>
      <c r="N112" s="17"/>
    </row>
    <row r="113" customFormat="false" ht="39.55" hidden="false" customHeight="false" outlineLevel="0" collapsed="false">
      <c r="A113" s="16" t="n">
        <v>112</v>
      </c>
      <c r="B113" s="17" t="s">
        <v>600</v>
      </c>
      <c r="C113" s="17" t="s">
        <v>601</v>
      </c>
      <c r="D113" s="17" t="s">
        <v>602</v>
      </c>
      <c r="E113" s="17" t="s">
        <v>603</v>
      </c>
      <c r="F113" s="17" t="s">
        <v>604</v>
      </c>
      <c r="G113" s="17" t="s">
        <v>43</v>
      </c>
      <c r="H113" s="18" t="n">
        <v>1500</v>
      </c>
      <c r="I113" s="18" t="n">
        <v>0</v>
      </c>
      <c r="J113" s="17" t="s">
        <v>599</v>
      </c>
      <c r="K113" s="17"/>
      <c r="L113" s="17" t="s">
        <v>53</v>
      </c>
      <c r="M113" s="17" t="s">
        <v>46</v>
      </c>
      <c r="N113" s="17"/>
    </row>
    <row r="114" customFormat="false" ht="39.55" hidden="false" customHeight="false" outlineLevel="0" collapsed="false">
      <c r="A114" s="16" t="n">
        <v>113</v>
      </c>
      <c r="B114" s="17" t="s">
        <v>605</v>
      </c>
      <c r="C114" s="17" t="s">
        <v>200</v>
      </c>
      <c r="D114" s="17" t="s">
        <v>606</v>
      </c>
      <c r="E114" s="17" t="s">
        <v>607</v>
      </c>
      <c r="F114" s="17" t="s">
        <v>608</v>
      </c>
      <c r="G114" s="17" t="s">
        <v>43</v>
      </c>
      <c r="H114" s="18" t="n">
        <v>1800</v>
      </c>
      <c r="I114" s="18" t="n">
        <v>0</v>
      </c>
      <c r="J114" s="17" t="s">
        <v>609</v>
      </c>
      <c r="K114" s="17"/>
      <c r="L114" s="17" t="s">
        <v>45</v>
      </c>
      <c r="M114" s="17" t="s">
        <v>46</v>
      </c>
      <c r="N114" s="17"/>
    </row>
    <row r="115" customFormat="false" ht="26.85" hidden="false" customHeight="false" outlineLevel="0" collapsed="false">
      <c r="A115" s="16" t="n">
        <v>114</v>
      </c>
      <c r="B115" s="17" t="s">
        <v>610</v>
      </c>
      <c r="C115" s="17" t="s">
        <v>200</v>
      </c>
      <c r="D115" s="17" t="s">
        <v>611</v>
      </c>
      <c r="E115" s="17" t="s">
        <v>612</v>
      </c>
      <c r="F115" s="17" t="s">
        <v>613</v>
      </c>
      <c r="G115" s="17" t="s">
        <v>43</v>
      </c>
      <c r="H115" s="18" t="n">
        <v>1800</v>
      </c>
      <c r="I115" s="18" t="n">
        <v>0</v>
      </c>
      <c r="J115" s="17" t="s">
        <v>614</v>
      </c>
      <c r="K115" s="17"/>
      <c r="L115" s="17" t="s">
        <v>45</v>
      </c>
      <c r="M115" s="17" t="s">
        <v>46</v>
      </c>
      <c r="N115" s="17"/>
    </row>
    <row r="116" customFormat="false" ht="26.85" hidden="false" customHeight="false" outlineLevel="0" collapsed="false">
      <c r="A116" s="16" t="n">
        <v>115</v>
      </c>
      <c r="B116" s="17" t="s">
        <v>615</v>
      </c>
      <c r="C116" s="17" t="s">
        <v>601</v>
      </c>
      <c r="D116" s="17" t="s">
        <v>616</v>
      </c>
      <c r="E116" s="17" t="s">
        <v>617</v>
      </c>
      <c r="F116" s="17" t="s">
        <v>618</v>
      </c>
      <c r="G116" s="17" t="s">
        <v>43</v>
      </c>
      <c r="H116" s="18" t="n">
        <v>1500</v>
      </c>
      <c r="I116" s="18" t="n">
        <v>0</v>
      </c>
      <c r="J116" s="17" t="s">
        <v>609</v>
      </c>
      <c r="K116" s="17"/>
      <c r="L116" s="17" t="s">
        <v>53</v>
      </c>
      <c r="M116" s="17" t="s">
        <v>46</v>
      </c>
      <c r="N116" s="17"/>
    </row>
    <row r="117" customFormat="false" ht="26.85" hidden="false" customHeight="false" outlineLevel="0" collapsed="false">
      <c r="A117" s="16" t="n">
        <v>116</v>
      </c>
      <c r="B117" s="17" t="s">
        <v>619</v>
      </c>
      <c r="C117" s="17" t="s">
        <v>87</v>
      </c>
      <c r="D117" s="17" t="s">
        <v>620</v>
      </c>
      <c r="E117" s="17" t="s">
        <v>621</v>
      </c>
      <c r="F117" s="17" t="s">
        <v>622</v>
      </c>
      <c r="G117" s="17" t="s">
        <v>43</v>
      </c>
      <c r="H117" s="18" t="n">
        <v>1500</v>
      </c>
      <c r="I117" s="18" t="n">
        <v>0</v>
      </c>
      <c r="J117" s="17" t="s">
        <v>623</v>
      </c>
      <c r="K117" s="17"/>
      <c r="L117" s="17" t="s">
        <v>53</v>
      </c>
      <c r="M117" s="17" t="s">
        <v>46</v>
      </c>
      <c r="N117" s="17"/>
    </row>
    <row r="118" customFormat="false" ht="26.85" hidden="false" customHeight="false" outlineLevel="0" collapsed="false">
      <c r="A118" s="16" t="n">
        <v>117</v>
      </c>
      <c r="B118" s="17" t="s">
        <v>624</v>
      </c>
      <c r="C118" s="17" t="s">
        <v>402</v>
      </c>
      <c r="D118" s="17" t="s">
        <v>625</v>
      </c>
      <c r="E118" s="17" t="s">
        <v>626</v>
      </c>
      <c r="F118" s="17" t="s">
        <v>627</v>
      </c>
      <c r="G118" s="17" t="s">
        <v>43</v>
      </c>
      <c r="H118" s="18" t="n">
        <v>1500</v>
      </c>
      <c r="I118" s="18" t="n">
        <v>0</v>
      </c>
      <c r="J118" s="17" t="s">
        <v>628</v>
      </c>
      <c r="K118" s="17"/>
      <c r="L118" s="17" t="s">
        <v>53</v>
      </c>
      <c r="M118" s="17" t="s">
        <v>46</v>
      </c>
      <c r="N118" s="17"/>
    </row>
    <row r="119" customFormat="false" ht="39.55" hidden="false" customHeight="false" outlineLevel="0" collapsed="false">
      <c r="A119" s="16" t="n">
        <v>118</v>
      </c>
      <c r="B119" s="17" t="s">
        <v>629</v>
      </c>
      <c r="C119" s="17" t="s">
        <v>489</v>
      </c>
      <c r="D119" s="17" t="s">
        <v>630</v>
      </c>
      <c r="E119" s="17" t="s">
        <v>631</v>
      </c>
      <c r="F119" s="17" t="s">
        <v>632</v>
      </c>
      <c r="G119" s="17" t="s">
        <v>43</v>
      </c>
      <c r="H119" s="18" t="n">
        <v>1800</v>
      </c>
      <c r="I119" s="18" t="n">
        <v>0</v>
      </c>
      <c r="J119" s="17" t="s">
        <v>633</v>
      </c>
      <c r="K119" s="17"/>
      <c r="L119" s="17" t="s">
        <v>45</v>
      </c>
      <c r="M119" s="17" t="s">
        <v>46</v>
      </c>
      <c r="N119" s="17"/>
    </row>
    <row r="120" customFormat="false" ht="26.85" hidden="false" customHeight="false" outlineLevel="0" collapsed="false">
      <c r="A120" s="16" t="n">
        <v>119</v>
      </c>
      <c r="B120" s="17" t="s">
        <v>634</v>
      </c>
      <c r="C120" s="17" t="s">
        <v>55</v>
      </c>
      <c r="D120" s="17" t="s">
        <v>72</v>
      </c>
      <c r="E120" s="17" t="s">
        <v>635</v>
      </c>
      <c r="F120" s="17" t="s">
        <v>636</v>
      </c>
      <c r="G120" s="17" t="s">
        <v>43</v>
      </c>
      <c r="H120" s="18" t="n">
        <v>1500</v>
      </c>
      <c r="I120" s="18" t="n">
        <v>0</v>
      </c>
      <c r="J120" s="17" t="s">
        <v>637</v>
      </c>
      <c r="K120" s="17"/>
      <c r="L120" s="17" t="s">
        <v>53</v>
      </c>
      <c r="M120" s="17" t="s">
        <v>46</v>
      </c>
      <c r="N120" s="17"/>
    </row>
    <row r="121" customFormat="false" ht="26.85" hidden="false" customHeight="false" outlineLevel="0" collapsed="false">
      <c r="A121" s="16" t="n">
        <v>120</v>
      </c>
      <c r="B121" s="17" t="s">
        <v>638</v>
      </c>
      <c r="C121" s="17" t="s">
        <v>125</v>
      </c>
      <c r="D121" s="17" t="s">
        <v>639</v>
      </c>
      <c r="E121" s="17" t="s">
        <v>640</v>
      </c>
      <c r="F121" s="17" t="s">
        <v>641</v>
      </c>
      <c r="G121" s="17" t="s">
        <v>43</v>
      </c>
      <c r="H121" s="18" t="n">
        <v>1800</v>
      </c>
      <c r="I121" s="18" t="n">
        <v>0</v>
      </c>
      <c r="J121" s="17" t="s">
        <v>642</v>
      </c>
      <c r="K121" s="17"/>
      <c r="L121" s="17" t="s">
        <v>45</v>
      </c>
      <c r="M121" s="17" t="s">
        <v>46</v>
      </c>
      <c r="N121" s="17"/>
    </row>
    <row r="122" customFormat="false" ht="39.55" hidden="false" customHeight="false" outlineLevel="0" collapsed="false">
      <c r="A122" s="16" t="n">
        <v>121</v>
      </c>
      <c r="B122" s="17" t="s">
        <v>643</v>
      </c>
      <c r="C122" s="17" t="s">
        <v>215</v>
      </c>
      <c r="D122" s="17" t="s">
        <v>644</v>
      </c>
      <c r="E122" s="17" t="s">
        <v>645</v>
      </c>
      <c r="F122" s="17" t="s">
        <v>646</v>
      </c>
      <c r="G122" s="17" t="s">
        <v>43</v>
      </c>
      <c r="H122" s="18" t="n">
        <v>1800</v>
      </c>
      <c r="I122" s="18" t="n">
        <v>0</v>
      </c>
      <c r="J122" s="17" t="s">
        <v>647</v>
      </c>
      <c r="K122" s="17"/>
      <c r="L122" s="17" t="s">
        <v>45</v>
      </c>
      <c r="M122" s="17" t="s">
        <v>46</v>
      </c>
      <c r="N122" s="17"/>
    </row>
    <row r="123" customFormat="false" ht="52.2" hidden="false" customHeight="false" outlineLevel="0" collapsed="false">
      <c r="A123" s="16" t="n">
        <v>122</v>
      </c>
      <c r="B123" s="17" t="s">
        <v>648</v>
      </c>
      <c r="C123" s="17" t="s">
        <v>173</v>
      </c>
      <c r="D123" s="17" t="s">
        <v>649</v>
      </c>
      <c r="E123" s="17" t="s">
        <v>650</v>
      </c>
      <c r="F123" s="17" t="s">
        <v>651</v>
      </c>
      <c r="G123" s="17" t="s">
        <v>43</v>
      </c>
      <c r="H123" s="18" t="n">
        <v>1800</v>
      </c>
      <c r="I123" s="18" t="n">
        <v>0</v>
      </c>
      <c r="J123" s="17" t="s">
        <v>652</v>
      </c>
      <c r="K123" s="17"/>
      <c r="L123" s="17" t="s">
        <v>45</v>
      </c>
      <c r="M123" s="17" t="s">
        <v>46</v>
      </c>
      <c r="N123" s="17"/>
    </row>
    <row r="124" customFormat="false" ht="39.55" hidden="false" customHeight="false" outlineLevel="0" collapsed="false">
      <c r="A124" s="16" t="n">
        <v>123</v>
      </c>
      <c r="B124" s="17" t="s">
        <v>653</v>
      </c>
      <c r="C124" s="17" t="s">
        <v>200</v>
      </c>
      <c r="D124" s="17" t="s">
        <v>654</v>
      </c>
      <c r="E124" s="17" t="s">
        <v>655</v>
      </c>
      <c r="F124" s="17" t="s">
        <v>656</v>
      </c>
      <c r="G124" s="17" t="s">
        <v>43</v>
      </c>
      <c r="H124" s="18" t="n">
        <v>1800</v>
      </c>
      <c r="I124" s="18" t="n">
        <v>0</v>
      </c>
      <c r="J124" s="17" t="s">
        <v>657</v>
      </c>
      <c r="K124" s="17"/>
      <c r="L124" s="17" t="s">
        <v>45</v>
      </c>
      <c r="M124" s="17" t="s">
        <v>46</v>
      </c>
      <c r="N124" s="17"/>
    </row>
    <row r="125" customFormat="false" ht="90.25" hidden="false" customHeight="false" outlineLevel="0" collapsed="false">
      <c r="A125" s="16" t="n">
        <v>124</v>
      </c>
      <c r="B125" s="17" t="s">
        <v>658</v>
      </c>
      <c r="C125" s="17" t="s">
        <v>224</v>
      </c>
      <c r="D125" s="17" t="s">
        <v>659</v>
      </c>
      <c r="E125" s="17" t="s">
        <v>660</v>
      </c>
      <c r="F125" s="17" t="s">
        <v>661</v>
      </c>
      <c r="G125" s="17" t="s">
        <v>43</v>
      </c>
      <c r="H125" s="18" t="n">
        <v>1800</v>
      </c>
      <c r="I125" s="18" t="n">
        <v>0</v>
      </c>
      <c r="J125" s="17" t="s">
        <v>657</v>
      </c>
      <c r="K125" s="17"/>
      <c r="L125" s="17" t="s">
        <v>45</v>
      </c>
      <c r="M125" s="17" t="s">
        <v>46</v>
      </c>
      <c r="N125" s="17"/>
    </row>
    <row r="126" customFormat="false" ht="26.85" hidden="false" customHeight="false" outlineLevel="0" collapsed="false">
      <c r="A126" s="16" t="n">
        <v>125</v>
      </c>
      <c r="B126" s="17" t="s">
        <v>662</v>
      </c>
      <c r="C126" s="17" t="s">
        <v>561</v>
      </c>
      <c r="D126" s="17" t="s">
        <v>663</v>
      </c>
      <c r="E126" s="17" t="s">
        <v>664</v>
      </c>
      <c r="F126" s="17" t="s">
        <v>665</v>
      </c>
      <c r="G126" s="17" t="s">
        <v>43</v>
      </c>
      <c r="H126" s="18" t="n">
        <v>1800</v>
      </c>
      <c r="I126" s="18" t="n">
        <v>0</v>
      </c>
      <c r="J126" s="17" t="s">
        <v>666</v>
      </c>
      <c r="K126" s="17"/>
      <c r="L126" s="17" t="s">
        <v>45</v>
      </c>
      <c r="M126" s="17" t="s">
        <v>46</v>
      </c>
      <c r="N126" s="17"/>
    </row>
    <row r="127" customFormat="false" ht="39.55" hidden="false" customHeight="false" outlineLevel="0" collapsed="false">
      <c r="A127" s="16" t="n">
        <v>126</v>
      </c>
      <c r="B127" s="17" t="s">
        <v>667</v>
      </c>
      <c r="C127" s="17" t="s">
        <v>224</v>
      </c>
      <c r="D127" s="17" t="s">
        <v>668</v>
      </c>
      <c r="E127" s="17" t="s">
        <v>669</v>
      </c>
      <c r="F127" s="17" t="s">
        <v>670</v>
      </c>
      <c r="G127" s="17" t="s">
        <v>43</v>
      </c>
      <c r="H127" s="18" t="n">
        <v>1800</v>
      </c>
      <c r="I127" s="18" t="n">
        <v>0</v>
      </c>
      <c r="J127" s="17" t="s">
        <v>666</v>
      </c>
      <c r="K127" s="17"/>
      <c r="L127" s="17" t="s">
        <v>45</v>
      </c>
      <c r="M127" s="17" t="s">
        <v>46</v>
      </c>
      <c r="N127" s="17"/>
    </row>
    <row r="128" customFormat="false" ht="26.85" hidden="false" customHeight="false" outlineLevel="0" collapsed="false">
      <c r="A128" s="16" t="n">
        <v>127</v>
      </c>
      <c r="B128" s="17" t="s">
        <v>671</v>
      </c>
      <c r="C128" s="17" t="s">
        <v>200</v>
      </c>
      <c r="D128" s="17" t="s">
        <v>672</v>
      </c>
      <c r="E128" s="17" t="s">
        <v>673</v>
      </c>
      <c r="F128" s="17" t="s">
        <v>674</v>
      </c>
      <c r="G128" s="17" t="s">
        <v>43</v>
      </c>
      <c r="H128" s="18" t="n">
        <v>1800</v>
      </c>
      <c r="I128" s="18" t="n">
        <v>0</v>
      </c>
      <c r="J128" s="17" t="s">
        <v>675</v>
      </c>
      <c r="K128" s="17"/>
      <c r="L128" s="17" t="s">
        <v>45</v>
      </c>
      <c r="M128" s="17" t="s">
        <v>46</v>
      </c>
      <c r="N128" s="17"/>
    </row>
    <row r="129" customFormat="false" ht="26.85" hidden="false" customHeight="false" outlineLevel="0" collapsed="false">
      <c r="A129" s="16" t="n">
        <v>128</v>
      </c>
      <c r="B129" s="17" t="s">
        <v>676</v>
      </c>
      <c r="C129" s="17" t="s">
        <v>601</v>
      </c>
      <c r="D129" s="17" t="s">
        <v>677</v>
      </c>
      <c r="E129" s="17" t="s">
        <v>678</v>
      </c>
      <c r="F129" s="17" t="s">
        <v>679</v>
      </c>
      <c r="G129" s="17" t="s">
        <v>43</v>
      </c>
      <c r="H129" s="18" t="n">
        <v>1500</v>
      </c>
      <c r="I129" s="18" t="n">
        <v>0</v>
      </c>
      <c r="J129" s="17" t="s">
        <v>680</v>
      </c>
      <c r="K129" s="17"/>
      <c r="L129" s="17" t="s">
        <v>53</v>
      </c>
      <c r="M129" s="17" t="s">
        <v>46</v>
      </c>
      <c r="N129" s="17"/>
    </row>
    <row r="130" customFormat="false" ht="26.85" hidden="false" customHeight="false" outlineLevel="0" collapsed="false">
      <c r="A130" s="16" t="n">
        <v>129</v>
      </c>
      <c r="B130" s="17" t="s">
        <v>681</v>
      </c>
      <c r="C130" s="17" t="s">
        <v>601</v>
      </c>
      <c r="D130" s="17" t="s">
        <v>616</v>
      </c>
      <c r="E130" s="17" t="s">
        <v>682</v>
      </c>
      <c r="F130" s="17" t="s">
        <v>683</v>
      </c>
      <c r="G130" s="17" t="s">
        <v>43</v>
      </c>
      <c r="H130" s="18" t="n">
        <v>1500</v>
      </c>
      <c r="I130" s="18" t="n">
        <v>0</v>
      </c>
      <c r="J130" s="17" t="s">
        <v>675</v>
      </c>
      <c r="K130" s="17"/>
      <c r="L130" s="17" t="s">
        <v>53</v>
      </c>
      <c r="M130" s="17" t="s">
        <v>46</v>
      </c>
      <c r="N130" s="17"/>
    </row>
    <row r="131" customFormat="false" ht="39.55" hidden="false" customHeight="false" outlineLevel="0" collapsed="false">
      <c r="A131" s="16" t="n">
        <v>130</v>
      </c>
      <c r="B131" s="17" t="s">
        <v>684</v>
      </c>
      <c r="C131" s="17" t="s">
        <v>402</v>
      </c>
      <c r="D131" s="17" t="s">
        <v>685</v>
      </c>
      <c r="E131" s="17" t="s">
        <v>686</v>
      </c>
      <c r="F131" s="17" t="s">
        <v>687</v>
      </c>
      <c r="G131" s="17" t="s">
        <v>43</v>
      </c>
      <c r="H131" s="18" t="n">
        <v>1500</v>
      </c>
      <c r="I131" s="18" t="n">
        <v>0</v>
      </c>
      <c r="J131" s="17" t="s">
        <v>675</v>
      </c>
      <c r="K131" s="17"/>
      <c r="L131" s="17" t="s">
        <v>53</v>
      </c>
      <c r="M131" s="17" t="s">
        <v>46</v>
      </c>
      <c r="N131" s="17"/>
    </row>
    <row r="132" customFormat="false" ht="26.85" hidden="false" customHeight="false" outlineLevel="0" collapsed="false">
      <c r="A132" s="16" t="n">
        <v>131</v>
      </c>
      <c r="B132" s="17" t="s">
        <v>688</v>
      </c>
      <c r="C132" s="17" t="s">
        <v>580</v>
      </c>
      <c r="D132" s="17" t="s">
        <v>689</v>
      </c>
      <c r="E132" s="17" t="s">
        <v>690</v>
      </c>
      <c r="F132" s="17" t="s">
        <v>691</v>
      </c>
      <c r="G132" s="17" t="s">
        <v>43</v>
      </c>
      <c r="H132" s="18" t="n">
        <v>1800</v>
      </c>
      <c r="I132" s="18" t="n">
        <v>0</v>
      </c>
      <c r="J132" s="17" t="s">
        <v>692</v>
      </c>
      <c r="K132" s="17"/>
      <c r="L132" s="17" t="s">
        <v>45</v>
      </c>
      <c r="M132" s="17" t="s">
        <v>46</v>
      </c>
      <c r="N132" s="17"/>
    </row>
    <row r="133" customFormat="false" ht="26.85" hidden="false" customHeight="false" outlineLevel="0" collapsed="false">
      <c r="A133" s="16" t="n">
        <v>132</v>
      </c>
      <c r="B133" s="17" t="s">
        <v>693</v>
      </c>
      <c r="C133" s="17" t="s">
        <v>191</v>
      </c>
      <c r="D133" s="17" t="s">
        <v>694</v>
      </c>
      <c r="E133" s="17" t="s">
        <v>695</v>
      </c>
      <c r="F133" s="17" t="s">
        <v>696</v>
      </c>
      <c r="G133" s="17" t="s">
        <v>43</v>
      </c>
      <c r="H133" s="18" t="n">
        <v>1800</v>
      </c>
      <c r="I133" s="18" t="n">
        <v>0</v>
      </c>
      <c r="J133" s="17" t="s">
        <v>697</v>
      </c>
      <c r="K133" s="17"/>
      <c r="L133" s="17" t="s">
        <v>45</v>
      </c>
      <c r="M133" s="17" t="s">
        <v>46</v>
      </c>
      <c r="N133" s="17"/>
    </row>
    <row r="134" customFormat="false" ht="26.85" hidden="false" customHeight="false" outlineLevel="0" collapsed="false">
      <c r="A134" s="16" t="n">
        <v>133</v>
      </c>
      <c r="B134" s="17" t="s">
        <v>698</v>
      </c>
      <c r="C134" s="17" t="s">
        <v>402</v>
      </c>
      <c r="D134" s="17" t="s">
        <v>625</v>
      </c>
      <c r="E134" s="17" t="s">
        <v>699</v>
      </c>
      <c r="F134" s="17" t="s">
        <v>700</v>
      </c>
      <c r="G134" s="17" t="s">
        <v>43</v>
      </c>
      <c r="H134" s="18" t="n">
        <v>1500</v>
      </c>
      <c r="I134" s="18" t="n">
        <v>0</v>
      </c>
      <c r="J134" s="17" t="s">
        <v>697</v>
      </c>
      <c r="K134" s="17"/>
      <c r="L134" s="17" t="s">
        <v>53</v>
      </c>
      <c r="M134" s="17" t="s">
        <v>46</v>
      </c>
      <c r="N134" s="17"/>
    </row>
    <row r="135" customFormat="false" ht="39.55" hidden="false" customHeight="false" outlineLevel="0" collapsed="false">
      <c r="A135" s="16" t="n">
        <v>134</v>
      </c>
      <c r="B135" s="17" t="s">
        <v>701</v>
      </c>
      <c r="C135" s="17" t="s">
        <v>215</v>
      </c>
      <c r="D135" s="17" t="s">
        <v>702</v>
      </c>
      <c r="E135" s="17" t="s">
        <v>703</v>
      </c>
      <c r="F135" s="17" t="s">
        <v>704</v>
      </c>
      <c r="G135" s="17" t="s">
        <v>43</v>
      </c>
      <c r="H135" s="18" t="n">
        <v>1800</v>
      </c>
      <c r="I135" s="18" t="n">
        <v>0</v>
      </c>
      <c r="J135" s="17" t="s">
        <v>705</v>
      </c>
      <c r="K135" s="17"/>
      <c r="L135" s="17" t="s">
        <v>45</v>
      </c>
      <c r="M135" s="17" t="s">
        <v>46</v>
      </c>
      <c r="N135" s="17"/>
    </row>
    <row r="136" customFormat="false" ht="39.55" hidden="false" customHeight="false" outlineLevel="0" collapsed="false">
      <c r="A136" s="16" t="n">
        <v>135</v>
      </c>
      <c r="B136" s="17" t="s">
        <v>706</v>
      </c>
      <c r="C136" s="17" t="s">
        <v>433</v>
      </c>
      <c r="D136" s="17" t="s">
        <v>707</v>
      </c>
      <c r="E136" s="17" t="s">
        <v>708</v>
      </c>
      <c r="F136" s="17" t="s">
        <v>709</v>
      </c>
      <c r="G136" s="17" t="s">
        <v>43</v>
      </c>
      <c r="H136" s="18" t="n">
        <v>1500</v>
      </c>
      <c r="I136" s="18" t="n">
        <v>0</v>
      </c>
      <c r="J136" s="17" t="s">
        <v>705</v>
      </c>
      <c r="K136" s="17"/>
      <c r="L136" s="17" t="s">
        <v>53</v>
      </c>
      <c r="M136" s="17" t="s">
        <v>46</v>
      </c>
      <c r="N136" s="17"/>
    </row>
    <row r="137" customFormat="false" ht="52.2" hidden="false" customHeight="false" outlineLevel="0" collapsed="false">
      <c r="A137" s="16" t="n">
        <v>136</v>
      </c>
      <c r="B137" s="17" t="s">
        <v>710</v>
      </c>
      <c r="C137" s="17" t="s">
        <v>433</v>
      </c>
      <c r="D137" s="17" t="s">
        <v>711</v>
      </c>
      <c r="E137" s="17" t="s">
        <v>712</v>
      </c>
      <c r="F137" s="17" t="s">
        <v>713</v>
      </c>
      <c r="G137" s="17" t="s">
        <v>43</v>
      </c>
      <c r="H137" s="18" t="n">
        <v>1500</v>
      </c>
      <c r="I137" s="18" t="n">
        <v>0</v>
      </c>
      <c r="J137" s="17" t="s">
        <v>705</v>
      </c>
      <c r="K137" s="17"/>
      <c r="L137" s="17" t="s">
        <v>53</v>
      </c>
      <c r="M137" s="17" t="s">
        <v>46</v>
      </c>
      <c r="N137" s="17"/>
    </row>
    <row r="138" customFormat="false" ht="39.55" hidden="false" customHeight="false" outlineLevel="0" collapsed="false">
      <c r="A138" s="16" t="n">
        <v>137</v>
      </c>
      <c r="B138" s="17" t="s">
        <v>714</v>
      </c>
      <c r="C138" s="17" t="s">
        <v>173</v>
      </c>
      <c r="D138" s="17" t="s">
        <v>715</v>
      </c>
      <c r="E138" s="17" t="s">
        <v>716</v>
      </c>
      <c r="F138" s="17" t="s">
        <v>717</v>
      </c>
      <c r="G138" s="17" t="s">
        <v>43</v>
      </c>
      <c r="H138" s="18" t="n">
        <v>1800</v>
      </c>
      <c r="I138" s="18" t="n">
        <v>0</v>
      </c>
      <c r="J138" s="17" t="s">
        <v>718</v>
      </c>
      <c r="K138" s="17"/>
      <c r="L138" s="17" t="s">
        <v>45</v>
      </c>
      <c r="M138" s="17" t="s">
        <v>46</v>
      </c>
      <c r="N138" s="17"/>
    </row>
    <row r="139" customFormat="false" ht="39.55" hidden="false" customHeight="false" outlineLevel="0" collapsed="false">
      <c r="A139" s="16" t="n">
        <v>138</v>
      </c>
      <c r="B139" s="17" t="s">
        <v>719</v>
      </c>
      <c r="C139" s="17" t="s">
        <v>601</v>
      </c>
      <c r="D139" s="17" t="s">
        <v>720</v>
      </c>
      <c r="E139" s="17" t="s">
        <v>721</v>
      </c>
      <c r="F139" s="17" t="s">
        <v>722</v>
      </c>
      <c r="G139" s="17" t="s">
        <v>43</v>
      </c>
      <c r="H139" s="18" t="n">
        <v>1500</v>
      </c>
      <c r="I139" s="18" t="n">
        <v>0</v>
      </c>
      <c r="J139" s="17" t="s">
        <v>718</v>
      </c>
      <c r="K139" s="17"/>
      <c r="L139" s="17" t="s">
        <v>53</v>
      </c>
      <c r="M139" s="17" t="s">
        <v>46</v>
      </c>
      <c r="N139" s="17"/>
    </row>
    <row r="140" customFormat="false" ht="26.85" hidden="false" customHeight="false" outlineLevel="0" collapsed="false">
      <c r="A140" s="16" t="n">
        <v>139</v>
      </c>
      <c r="B140" s="17" t="s">
        <v>723</v>
      </c>
      <c r="C140" s="17" t="s">
        <v>173</v>
      </c>
      <c r="D140" s="17" t="s">
        <v>724</v>
      </c>
      <c r="E140" s="17" t="s">
        <v>725</v>
      </c>
      <c r="F140" s="17" t="s">
        <v>726</v>
      </c>
      <c r="G140" s="17" t="s">
        <v>43</v>
      </c>
      <c r="H140" s="18" t="n">
        <v>1800</v>
      </c>
      <c r="I140" s="18" t="n">
        <v>0</v>
      </c>
      <c r="J140" s="17" t="s">
        <v>727</v>
      </c>
      <c r="K140" s="17"/>
      <c r="L140" s="17" t="s">
        <v>45</v>
      </c>
      <c r="M140" s="17" t="s">
        <v>46</v>
      </c>
      <c r="N140" s="17"/>
    </row>
    <row r="141" customFormat="false" ht="26.85" hidden="false" customHeight="false" outlineLevel="0" collapsed="false">
      <c r="A141" s="16" t="n">
        <v>140</v>
      </c>
      <c r="B141" s="17" t="s">
        <v>728</v>
      </c>
      <c r="C141" s="17" t="s">
        <v>136</v>
      </c>
      <c r="D141" s="17" t="s">
        <v>397</v>
      </c>
      <c r="E141" s="17" t="s">
        <v>729</v>
      </c>
      <c r="F141" s="17" t="s">
        <v>730</v>
      </c>
      <c r="G141" s="17" t="s">
        <v>43</v>
      </c>
      <c r="H141" s="18" t="n">
        <v>1800</v>
      </c>
      <c r="I141" s="18" t="n">
        <v>0</v>
      </c>
      <c r="J141" s="17" t="s">
        <v>727</v>
      </c>
      <c r="K141" s="17"/>
      <c r="L141" s="17" t="s">
        <v>45</v>
      </c>
      <c r="M141" s="17" t="s">
        <v>46</v>
      </c>
      <c r="N141" s="17"/>
    </row>
    <row r="142" customFormat="false" ht="39.55" hidden="false" customHeight="false" outlineLevel="0" collapsed="false">
      <c r="A142" s="16" t="n">
        <v>141</v>
      </c>
      <c r="B142" s="17" t="s">
        <v>731</v>
      </c>
      <c r="C142" s="17" t="s">
        <v>136</v>
      </c>
      <c r="D142" s="17" t="s">
        <v>732</v>
      </c>
      <c r="E142" s="17" t="s">
        <v>733</v>
      </c>
      <c r="F142" s="17" t="s">
        <v>734</v>
      </c>
      <c r="G142" s="17" t="s">
        <v>43</v>
      </c>
      <c r="H142" s="18" t="n">
        <v>1800</v>
      </c>
      <c r="I142" s="18" t="n">
        <v>0</v>
      </c>
      <c r="J142" s="17" t="s">
        <v>735</v>
      </c>
      <c r="K142" s="17"/>
      <c r="L142" s="17" t="s">
        <v>45</v>
      </c>
      <c r="M142" s="17" t="s">
        <v>46</v>
      </c>
      <c r="N142" s="17"/>
    </row>
    <row r="143" customFormat="false" ht="26.85" hidden="false" customHeight="false" outlineLevel="0" collapsed="false">
      <c r="A143" s="16" t="n">
        <v>142</v>
      </c>
      <c r="B143" s="17" t="s">
        <v>736</v>
      </c>
      <c r="C143" s="17" t="s">
        <v>147</v>
      </c>
      <c r="D143" s="17" t="s">
        <v>737</v>
      </c>
      <c r="E143" s="17" t="s">
        <v>738</v>
      </c>
      <c r="F143" s="17" t="s">
        <v>739</v>
      </c>
      <c r="G143" s="17" t="s">
        <v>43</v>
      </c>
      <c r="H143" s="18" t="n">
        <v>1800</v>
      </c>
      <c r="I143" s="18" t="n">
        <v>0</v>
      </c>
      <c r="J143" s="17" t="s">
        <v>740</v>
      </c>
      <c r="K143" s="17"/>
      <c r="L143" s="17" t="s">
        <v>45</v>
      </c>
      <c r="M143" s="17" t="s">
        <v>46</v>
      </c>
      <c r="N143" s="17"/>
    </row>
    <row r="144" customFormat="false" ht="26.85" hidden="false" customHeight="false" outlineLevel="0" collapsed="false">
      <c r="A144" s="16" t="n">
        <v>143</v>
      </c>
      <c r="B144" s="17" t="s">
        <v>741</v>
      </c>
      <c r="C144" s="17" t="s">
        <v>601</v>
      </c>
      <c r="D144" s="17" t="s">
        <v>742</v>
      </c>
      <c r="E144" s="17" t="s">
        <v>743</v>
      </c>
      <c r="F144" s="17" t="s">
        <v>744</v>
      </c>
      <c r="G144" s="17" t="s">
        <v>43</v>
      </c>
      <c r="H144" s="18" t="n">
        <v>1500</v>
      </c>
      <c r="I144" s="18" t="n">
        <v>0</v>
      </c>
      <c r="J144" s="17" t="s">
        <v>740</v>
      </c>
      <c r="K144" s="17"/>
      <c r="L144" s="17" t="s">
        <v>53</v>
      </c>
      <c r="M144" s="17" t="s">
        <v>46</v>
      </c>
      <c r="N144" s="17"/>
    </row>
    <row r="145" customFormat="false" ht="39.55" hidden="false" customHeight="false" outlineLevel="0" collapsed="false">
      <c r="A145" s="16" t="n">
        <v>144</v>
      </c>
      <c r="B145" s="17" t="s">
        <v>745</v>
      </c>
      <c r="C145" s="17" t="s">
        <v>402</v>
      </c>
      <c r="D145" s="17" t="s">
        <v>746</v>
      </c>
      <c r="E145" s="17" t="s">
        <v>747</v>
      </c>
      <c r="F145" s="17" t="s">
        <v>748</v>
      </c>
      <c r="G145" s="17" t="s">
        <v>43</v>
      </c>
      <c r="H145" s="18" t="n">
        <v>1500</v>
      </c>
      <c r="I145" s="18" t="n">
        <v>0</v>
      </c>
      <c r="J145" s="17" t="s">
        <v>740</v>
      </c>
      <c r="K145" s="17"/>
      <c r="L145" s="17" t="s">
        <v>53</v>
      </c>
      <c r="M145" s="17" t="s">
        <v>46</v>
      </c>
      <c r="N145" s="17"/>
    </row>
    <row r="146" customFormat="false" ht="26.85" hidden="false" customHeight="false" outlineLevel="0" collapsed="false">
      <c r="A146" s="16" t="n">
        <v>145</v>
      </c>
      <c r="B146" s="17" t="s">
        <v>749</v>
      </c>
      <c r="C146" s="17" t="s">
        <v>402</v>
      </c>
      <c r="D146" s="17" t="s">
        <v>750</v>
      </c>
      <c r="E146" s="17" t="s">
        <v>751</v>
      </c>
      <c r="F146" s="17" t="s">
        <v>752</v>
      </c>
      <c r="G146" s="17" t="s">
        <v>43</v>
      </c>
      <c r="H146" s="18" t="n">
        <v>1500</v>
      </c>
      <c r="I146" s="18" t="n">
        <v>0</v>
      </c>
      <c r="J146" s="17" t="s">
        <v>740</v>
      </c>
      <c r="K146" s="17"/>
      <c r="L146" s="17" t="s">
        <v>53</v>
      </c>
      <c r="M146" s="17" t="s">
        <v>46</v>
      </c>
      <c r="N146" s="17"/>
    </row>
    <row r="147" customFormat="false" ht="26.85" hidden="false" customHeight="false" outlineLevel="0" collapsed="false">
      <c r="A147" s="16" t="n">
        <v>146</v>
      </c>
      <c r="B147" s="17" t="s">
        <v>753</v>
      </c>
      <c r="C147" s="17" t="s">
        <v>754</v>
      </c>
      <c r="D147" s="17" t="s">
        <v>755</v>
      </c>
      <c r="E147" s="17" t="s">
        <v>756</v>
      </c>
      <c r="F147" s="17" t="s">
        <v>757</v>
      </c>
      <c r="G147" s="17" t="s">
        <v>43</v>
      </c>
      <c r="H147" s="18" t="n">
        <v>1800</v>
      </c>
      <c r="I147" s="18" t="n">
        <v>0</v>
      </c>
      <c r="J147" s="17" t="s">
        <v>758</v>
      </c>
      <c r="K147" s="17"/>
      <c r="L147" s="17" t="s">
        <v>45</v>
      </c>
      <c r="M147" s="17" t="s">
        <v>46</v>
      </c>
      <c r="N147" s="17"/>
    </row>
    <row r="148" customFormat="false" ht="39.55" hidden="false" customHeight="false" outlineLevel="0" collapsed="false">
      <c r="A148" s="16" t="n">
        <v>147</v>
      </c>
      <c r="B148" s="17" t="s">
        <v>759</v>
      </c>
      <c r="C148" s="17" t="s">
        <v>433</v>
      </c>
      <c r="D148" s="17" t="s">
        <v>760</v>
      </c>
      <c r="E148" s="17"/>
      <c r="F148" s="17" t="s">
        <v>761</v>
      </c>
      <c r="G148" s="17" t="s">
        <v>43</v>
      </c>
      <c r="H148" s="18" t="n">
        <v>1500</v>
      </c>
      <c r="I148" s="18" t="n">
        <v>0</v>
      </c>
      <c r="J148" s="17" t="s">
        <v>758</v>
      </c>
      <c r="K148" s="17"/>
      <c r="L148" s="17" t="s">
        <v>53</v>
      </c>
      <c r="M148" s="17" t="s">
        <v>46</v>
      </c>
      <c r="N148" s="17"/>
    </row>
    <row r="149" customFormat="false" ht="26.85" hidden="false" customHeight="false" outlineLevel="0" collapsed="false">
      <c r="A149" s="16" t="n">
        <v>148</v>
      </c>
      <c r="B149" s="17" t="s">
        <v>762</v>
      </c>
      <c r="C149" s="17" t="s">
        <v>81</v>
      </c>
      <c r="D149" s="17" t="s">
        <v>763</v>
      </c>
      <c r="E149" s="17" t="s">
        <v>764</v>
      </c>
      <c r="F149" s="17" t="s">
        <v>765</v>
      </c>
      <c r="G149" s="17" t="s">
        <v>43</v>
      </c>
      <c r="H149" s="18" t="n">
        <v>1500</v>
      </c>
      <c r="I149" s="18" t="n">
        <v>0</v>
      </c>
      <c r="J149" s="17" t="s">
        <v>766</v>
      </c>
      <c r="K149" s="17"/>
      <c r="L149" s="17" t="s">
        <v>53</v>
      </c>
      <c r="M149" s="17" t="s">
        <v>46</v>
      </c>
      <c r="N149" s="17"/>
    </row>
    <row r="150" customFormat="false" ht="26.85" hidden="false" customHeight="false" outlineLevel="0" collapsed="false">
      <c r="A150" s="16" t="n">
        <v>149</v>
      </c>
      <c r="B150" s="17" t="s">
        <v>767</v>
      </c>
      <c r="C150" s="17" t="s">
        <v>191</v>
      </c>
      <c r="D150" s="17" t="s">
        <v>768</v>
      </c>
      <c r="E150" s="17"/>
      <c r="F150" s="17" t="s">
        <v>769</v>
      </c>
      <c r="G150" s="17" t="s">
        <v>43</v>
      </c>
      <c r="H150" s="18" t="n">
        <v>1800</v>
      </c>
      <c r="I150" s="18" t="n">
        <v>0</v>
      </c>
      <c r="J150" s="17" t="s">
        <v>766</v>
      </c>
      <c r="K150" s="17"/>
      <c r="L150" s="17" t="s">
        <v>45</v>
      </c>
      <c r="M150" s="17" t="s">
        <v>46</v>
      </c>
      <c r="N150" s="17"/>
    </row>
    <row r="151" customFormat="false" ht="39.55" hidden="false" customHeight="false" outlineLevel="0" collapsed="false">
      <c r="A151" s="16" t="n">
        <v>150</v>
      </c>
      <c r="B151" s="17" t="s">
        <v>770</v>
      </c>
      <c r="C151" s="17" t="s">
        <v>601</v>
      </c>
      <c r="D151" s="17" t="s">
        <v>771</v>
      </c>
      <c r="E151" s="17" t="s">
        <v>772</v>
      </c>
      <c r="F151" s="17" t="s">
        <v>773</v>
      </c>
      <c r="G151" s="17" t="s">
        <v>43</v>
      </c>
      <c r="H151" s="18" t="n">
        <v>1500</v>
      </c>
      <c r="I151" s="18" t="n">
        <v>0</v>
      </c>
      <c r="J151" s="17" t="s">
        <v>766</v>
      </c>
      <c r="K151" s="17"/>
      <c r="L151" s="17" t="s">
        <v>53</v>
      </c>
      <c r="M151" s="17" t="s">
        <v>46</v>
      </c>
      <c r="N151" s="17"/>
    </row>
    <row r="152" customFormat="false" ht="26.85" hidden="false" customHeight="false" outlineLevel="0" collapsed="false">
      <c r="A152" s="16" t="n">
        <v>151</v>
      </c>
      <c r="B152" s="17" t="s">
        <v>774</v>
      </c>
      <c r="C152" s="17" t="s">
        <v>775</v>
      </c>
      <c r="D152" s="17" t="s">
        <v>776</v>
      </c>
      <c r="E152" s="17" t="s">
        <v>777</v>
      </c>
      <c r="F152" s="17" t="s">
        <v>778</v>
      </c>
      <c r="G152" s="17" t="s">
        <v>43</v>
      </c>
      <c r="H152" s="18" t="n">
        <v>1800</v>
      </c>
      <c r="I152" s="18" t="n">
        <v>0</v>
      </c>
      <c r="J152" s="17" t="s">
        <v>779</v>
      </c>
      <c r="K152" s="17"/>
      <c r="L152" s="17" t="s">
        <v>45</v>
      </c>
      <c r="M152" s="17" t="s">
        <v>46</v>
      </c>
      <c r="N152" s="17"/>
    </row>
    <row r="153" customFormat="false" ht="26.85" hidden="false" customHeight="false" outlineLevel="0" collapsed="false">
      <c r="A153" s="16" t="n">
        <v>152</v>
      </c>
      <c r="B153" s="17" t="s">
        <v>780</v>
      </c>
      <c r="C153" s="17" t="s">
        <v>55</v>
      </c>
      <c r="D153" s="17" t="s">
        <v>56</v>
      </c>
      <c r="E153" s="17" t="s">
        <v>781</v>
      </c>
      <c r="F153" s="17" t="s">
        <v>782</v>
      </c>
      <c r="G153" s="17" t="s">
        <v>43</v>
      </c>
      <c r="H153" s="18" t="n">
        <v>1500</v>
      </c>
      <c r="I153" s="18" t="n">
        <v>0</v>
      </c>
      <c r="J153" s="17" t="s">
        <v>783</v>
      </c>
      <c r="K153" s="17"/>
      <c r="L153" s="17" t="s">
        <v>53</v>
      </c>
      <c r="M153" s="17" t="s">
        <v>46</v>
      </c>
      <c r="N153" s="17"/>
    </row>
    <row r="154" customFormat="false" ht="26.85" hidden="false" customHeight="false" outlineLevel="0" collapsed="false">
      <c r="A154" s="16" t="n">
        <v>153</v>
      </c>
      <c r="B154" s="17" t="s">
        <v>784</v>
      </c>
      <c r="C154" s="17" t="s">
        <v>215</v>
      </c>
      <c r="D154" s="17" t="s">
        <v>785</v>
      </c>
      <c r="E154" s="17" t="s">
        <v>786</v>
      </c>
      <c r="F154" s="17" t="s">
        <v>787</v>
      </c>
      <c r="G154" s="17" t="s">
        <v>43</v>
      </c>
      <c r="H154" s="18" t="n">
        <v>1800</v>
      </c>
      <c r="I154" s="18" t="n">
        <v>0</v>
      </c>
      <c r="J154" s="17" t="s">
        <v>788</v>
      </c>
      <c r="K154" s="17"/>
      <c r="L154" s="17" t="s">
        <v>45</v>
      </c>
      <c r="M154" s="17" t="s">
        <v>46</v>
      </c>
      <c r="N154" s="17"/>
    </row>
    <row r="155" customFormat="false" ht="26.85" hidden="false" customHeight="false" outlineLevel="0" collapsed="false">
      <c r="A155" s="16" t="n">
        <v>154</v>
      </c>
      <c r="B155" s="17" t="s">
        <v>789</v>
      </c>
      <c r="C155" s="17" t="s">
        <v>125</v>
      </c>
      <c r="D155" s="17" t="s">
        <v>790</v>
      </c>
      <c r="E155" s="17" t="s">
        <v>791</v>
      </c>
      <c r="F155" s="17" t="s">
        <v>792</v>
      </c>
      <c r="G155" s="17" t="s">
        <v>43</v>
      </c>
      <c r="H155" s="18" t="n">
        <v>1800</v>
      </c>
      <c r="I155" s="18" t="n">
        <v>0</v>
      </c>
      <c r="J155" s="17" t="s">
        <v>793</v>
      </c>
      <c r="K155" s="17"/>
      <c r="L155" s="17" t="s">
        <v>45</v>
      </c>
      <c r="M155" s="17" t="s">
        <v>46</v>
      </c>
      <c r="N155" s="17"/>
    </row>
    <row r="156" customFormat="false" ht="39.55" hidden="false" customHeight="false" outlineLevel="0" collapsed="false">
      <c r="A156" s="16" t="n">
        <v>155</v>
      </c>
      <c r="B156" s="17" t="s">
        <v>794</v>
      </c>
      <c r="C156" s="17" t="s">
        <v>109</v>
      </c>
      <c r="D156" s="17" t="s">
        <v>795</v>
      </c>
      <c r="E156" s="17" t="s">
        <v>796</v>
      </c>
      <c r="F156" s="17" t="s">
        <v>797</v>
      </c>
      <c r="G156" s="17" t="s">
        <v>43</v>
      </c>
      <c r="H156" s="18" t="n">
        <v>1800</v>
      </c>
      <c r="I156" s="18" t="n">
        <v>0</v>
      </c>
      <c r="J156" s="17" t="s">
        <v>793</v>
      </c>
      <c r="K156" s="17"/>
      <c r="L156" s="17" t="s">
        <v>45</v>
      </c>
      <c r="M156" s="17" t="s">
        <v>46</v>
      </c>
      <c r="N156" s="17"/>
    </row>
    <row r="157" customFormat="false" ht="77.6" hidden="false" customHeight="false" outlineLevel="0" collapsed="false">
      <c r="A157" s="16" t="n">
        <v>156</v>
      </c>
      <c r="B157" s="17" t="s">
        <v>798</v>
      </c>
      <c r="C157" s="17" t="s">
        <v>39</v>
      </c>
      <c r="D157" s="17" t="s">
        <v>799</v>
      </c>
      <c r="E157" s="17" t="s">
        <v>800</v>
      </c>
      <c r="F157" s="17" t="s">
        <v>801</v>
      </c>
      <c r="G157" s="17" t="s">
        <v>43</v>
      </c>
      <c r="H157" s="18" t="n">
        <v>1800</v>
      </c>
      <c r="I157" s="18" t="n">
        <v>0</v>
      </c>
      <c r="J157" s="17" t="s">
        <v>793</v>
      </c>
      <c r="K157" s="17"/>
      <c r="L157" s="17" t="s">
        <v>45</v>
      </c>
      <c r="M157" s="17" t="s">
        <v>46</v>
      </c>
      <c r="N157" s="17"/>
    </row>
    <row r="158" customFormat="false" ht="26.85" hidden="false" customHeight="false" outlineLevel="0" collapsed="false">
      <c r="A158" s="16" t="n">
        <v>157</v>
      </c>
      <c r="B158" s="17" t="s">
        <v>802</v>
      </c>
      <c r="C158" s="17" t="s">
        <v>48</v>
      </c>
      <c r="D158" s="17" t="s">
        <v>803</v>
      </c>
      <c r="E158" s="17" t="s">
        <v>804</v>
      </c>
      <c r="F158" s="17" t="s">
        <v>805</v>
      </c>
      <c r="G158" s="17" t="s">
        <v>43</v>
      </c>
      <c r="H158" s="18" t="n">
        <v>1500</v>
      </c>
      <c r="I158" s="18" t="n">
        <v>0</v>
      </c>
      <c r="J158" s="17" t="s">
        <v>793</v>
      </c>
      <c r="K158" s="17"/>
      <c r="L158" s="17" t="s">
        <v>53</v>
      </c>
      <c r="M158" s="17" t="s">
        <v>46</v>
      </c>
      <c r="N158" s="17"/>
    </row>
    <row r="159" customFormat="false" ht="39.55" hidden="false" customHeight="false" outlineLevel="0" collapsed="false">
      <c r="A159" s="16" t="n">
        <v>158</v>
      </c>
      <c r="B159" s="17" t="s">
        <v>806</v>
      </c>
      <c r="C159" s="17" t="s">
        <v>39</v>
      </c>
      <c r="D159" s="17" t="s">
        <v>807</v>
      </c>
      <c r="E159" s="17" t="s">
        <v>808</v>
      </c>
      <c r="F159" s="17" t="s">
        <v>809</v>
      </c>
      <c r="G159" s="17" t="s">
        <v>43</v>
      </c>
      <c r="H159" s="18" t="n">
        <v>1800</v>
      </c>
      <c r="I159" s="18" t="n">
        <v>0</v>
      </c>
      <c r="J159" s="17" t="s">
        <v>810</v>
      </c>
      <c r="K159" s="17"/>
      <c r="L159" s="17" t="s">
        <v>45</v>
      </c>
      <c r="M159" s="17" t="s">
        <v>46</v>
      </c>
      <c r="N159" s="17"/>
    </row>
    <row r="160" customFormat="false" ht="39.55" hidden="false" customHeight="false" outlineLevel="0" collapsed="false">
      <c r="A160" s="16" t="n">
        <v>159</v>
      </c>
      <c r="B160" s="17" t="s">
        <v>811</v>
      </c>
      <c r="C160" s="17" t="s">
        <v>109</v>
      </c>
      <c r="D160" s="17" t="s">
        <v>812</v>
      </c>
      <c r="E160" s="17" t="s">
        <v>813</v>
      </c>
      <c r="F160" s="17" t="s">
        <v>814</v>
      </c>
      <c r="G160" s="17" t="s">
        <v>43</v>
      </c>
      <c r="H160" s="18" t="n">
        <v>1800</v>
      </c>
      <c r="I160" s="18" t="n">
        <v>0</v>
      </c>
      <c r="J160" s="17" t="s">
        <v>815</v>
      </c>
      <c r="K160" s="17"/>
      <c r="L160" s="17" t="s">
        <v>45</v>
      </c>
      <c r="M160" s="17" t="s">
        <v>46</v>
      </c>
      <c r="N160" s="17"/>
    </row>
    <row r="161" customFormat="false" ht="39.55" hidden="false" customHeight="false" outlineLevel="0" collapsed="false">
      <c r="A161" s="16" t="n">
        <v>160</v>
      </c>
      <c r="B161" s="17" t="s">
        <v>816</v>
      </c>
      <c r="C161" s="17" t="s">
        <v>109</v>
      </c>
      <c r="D161" s="17" t="s">
        <v>817</v>
      </c>
      <c r="E161" s="17" t="s">
        <v>818</v>
      </c>
      <c r="F161" s="17" t="s">
        <v>819</v>
      </c>
      <c r="G161" s="17" t="s">
        <v>43</v>
      </c>
      <c r="H161" s="18" t="n">
        <v>1800</v>
      </c>
      <c r="I161" s="18" t="n">
        <v>0</v>
      </c>
      <c r="J161" s="17" t="s">
        <v>815</v>
      </c>
      <c r="K161" s="17"/>
      <c r="L161" s="17" t="s">
        <v>45</v>
      </c>
      <c r="M161" s="17" t="s">
        <v>46</v>
      </c>
      <c r="N161" s="17"/>
    </row>
    <row r="162" customFormat="false" ht="26.85" hidden="false" customHeight="false" outlineLevel="0" collapsed="false">
      <c r="A162" s="16" t="n">
        <v>161</v>
      </c>
      <c r="B162" s="17" t="s">
        <v>820</v>
      </c>
      <c r="C162" s="17" t="s">
        <v>125</v>
      </c>
      <c r="D162" s="17" t="s">
        <v>821</v>
      </c>
      <c r="E162" s="17" t="s">
        <v>822</v>
      </c>
      <c r="F162" s="17" t="s">
        <v>823</v>
      </c>
      <c r="G162" s="17" t="s">
        <v>43</v>
      </c>
      <c r="H162" s="18" t="n">
        <v>1800</v>
      </c>
      <c r="I162" s="18" t="n">
        <v>0</v>
      </c>
      <c r="J162" s="17" t="s">
        <v>824</v>
      </c>
      <c r="K162" s="17"/>
      <c r="L162" s="17" t="s">
        <v>45</v>
      </c>
      <c r="M162" s="17" t="s">
        <v>46</v>
      </c>
      <c r="N162" s="17"/>
    </row>
    <row r="163" customFormat="false" ht="39.55" hidden="false" customHeight="false" outlineLevel="0" collapsed="false">
      <c r="A163" s="16" t="n">
        <v>162</v>
      </c>
      <c r="B163" s="17" t="s">
        <v>825</v>
      </c>
      <c r="C163" s="17" t="s">
        <v>580</v>
      </c>
      <c r="D163" s="17" t="s">
        <v>826</v>
      </c>
      <c r="E163" s="17" t="s">
        <v>827</v>
      </c>
      <c r="F163" s="17" t="s">
        <v>828</v>
      </c>
      <c r="G163" s="17" t="s">
        <v>43</v>
      </c>
      <c r="H163" s="18" t="n">
        <v>1800</v>
      </c>
      <c r="I163" s="18" t="n">
        <v>0</v>
      </c>
      <c r="J163" s="17" t="s">
        <v>824</v>
      </c>
      <c r="K163" s="17"/>
      <c r="L163" s="17" t="s">
        <v>45</v>
      </c>
      <c r="M163" s="17" t="s">
        <v>46</v>
      </c>
      <c r="N163" s="17"/>
    </row>
    <row r="164" customFormat="false" ht="26.85" hidden="false" customHeight="false" outlineLevel="0" collapsed="false">
      <c r="A164" s="16" t="n">
        <v>163</v>
      </c>
      <c r="B164" s="17" t="s">
        <v>829</v>
      </c>
      <c r="C164" s="17" t="s">
        <v>580</v>
      </c>
      <c r="D164" s="17" t="s">
        <v>830</v>
      </c>
      <c r="E164" s="17" t="s">
        <v>831</v>
      </c>
      <c r="F164" s="17" t="s">
        <v>832</v>
      </c>
      <c r="G164" s="17" t="s">
        <v>43</v>
      </c>
      <c r="H164" s="18" t="n">
        <v>1800</v>
      </c>
      <c r="I164" s="18" t="n">
        <v>0</v>
      </c>
      <c r="J164" s="17" t="s">
        <v>824</v>
      </c>
      <c r="K164" s="17"/>
      <c r="L164" s="17" t="s">
        <v>45</v>
      </c>
      <c r="M164" s="17" t="s">
        <v>46</v>
      </c>
      <c r="N164" s="17"/>
    </row>
    <row r="165" customFormat="false" ht="39.55" hidden="false" customHeight="false" outlineLevel="0" collapsed="false">
      <c r="A165" s="16" t="n">
        <v>164</v>
      </c>
      <c r="B165" s="17" t="s">
        <v>833</v>
      </c>
      <c r="C165" s="17" t="s">
        <v>580</v>
      </c>
      <c r="D165" s="17" t="s">
        <v>834</v>
      </c>
      <c r="E165" s="17" t="s">
        <v>835</v>
      </c>
      <c r="F165" s="17" t="s">
        <v>836</v>
      </c>
      <c r="G165" s="17" t="s">
        <v>43</v>
      </c>
      <c r="H165" s="18" t="n">
        <v>1800</v>
      </c>
      <c r="I165" s="18" t="n">
        <v>0</v>
      </c>
      <c r="J165" s="17" t="s">
        <v>824</v>
      </c>
      <c r="K165" s="17"/>
      <c r="L165" s="17" t="s">
        <v>45</v>
      </c>
      <c r="M165" s="17" t="s">
        <v>46</v>
      </c>
      <c r="N165" s="17"/>
    </row>
    <row r="166" customFormat="false" ht="39.55" hidden="false" customHeight="false" outlineLevel="0" collapsed="false">
      <c r="A166" s="16" t="n">
        <v>165</v>
      </c>
      <c r="B166" s="17" t="s">
        <v>837</v>
      </c>
      <c r="C166" s="17" t="s">
        <v>580</v>
      </c>
      <c r="D166" s="17" t="s">
        <v>838</v>
      </c>
      <c r="E166" s="17" t="s">
        <v>839</v>
      </c>
      <c r="F166" s="17" t="s">
        <v>840</v>
      </c>
      <c r="G166" s="17" t="s">
        <v>43</v>
      </c>
      <c r="H166" s="18" t="n">
        <v>1800</v>
      </c>
      <c r="I166" s="18" t="n">
        <v>0</v>
      </c>
      <c r="J166" s="17" t="s">
        <v>824</v>
      </c>
      <c r="K166" s="17"/>
      <c r="L166" s="17" t="s">
        <v>45</v>
      </c>
      <c r="M166" s="17" t="s">
        <v>46</v>
      </c>
      <c r="N166" s="17"/>
    </row>
    <row r="167" customFormat="false" ht="39.55" hidden="false" customHeight="false" outlineLevel="0" collapsed="false">
      <c r="A167" s="16" t="n">
        <v>166</v>
      </c>
      <c r="B167" s="17" t="s">
        <v>841</v>
      </c>
      <c r="C167" s="17" t="s">
        <v>561</v>
      </c>
      <c r="D167" s="17" t="s">
        <v>842</v>
      </c>
      <c r="E167" s="17" t="s">
        <v>843</v>
      </c>
      <c r="F167" s="17" t="s">
        <v>844</v>
      </c>
      <c r="G167" s="17" t="s">
        <v>43</v>
      </c>
      <c r="H167" s="18" t="n">
        <v>1800</v>
      </c>
      <c r="I167" s="18" t="n">
        <v>0</v>
      </c>
      <c r="J167" s="17" t="s">
        <v>824</v>
      </c>
      <c r="K167" s="17"/>
      <c r="L167" s="17" t="s">
        <v>45</v>
      </c>
      <c r="M167" s="17" t="s">
        <v>46</v>
      </c>
      <c r="N167" s="17"/>
    </row>
    <row r="168" customFormat="false" ht="26.85" hidden="false" customHeight="false" outlineLevel="0" collapsed="false">
      <c r="A168" s="16" t="n">
        <v>167</v>
      </c>
      <c r="B168" s="17" t="s">
        <v>845</v>
      </c>
      <c r="C168" s="17" t="s">
        <v>173</v>
      </c>
      <c r="D168" s="17" t="s">
        <v>846</v>
      </c>
      <c r="E168" s="17" t="s">
        <v>847</v>
      </c>
      <c r="F168" s="17" t="s">
        <v>848</v>
      </c>
      <c r="G168" s="17" t="s">
        <v>43</v>
      </c>
      <c r="H168" s="18" t="n">
        <v>1800</v>
      </c>
      <c r="I168" s="18" t="n">
        <v>0</v>
      </c>
      <c r="J168" s="17" t="s">
        <v>824</v>
      </c>
      <c r="K168" s="17"/>
      <c r="L168" s="17" t="s">
        <v>45</v>
      </c>
      <c r="M168" s="17" t="s">
        <v>46</v>
      </c>
      <c r="N168" s="17"/>
    </row>
    <row r="169" customFormat="false" ht="26.85" hidden="false" customHeight="false" outlineLevel="0" collapsed="false">
      <c r="A169" s="16" t="n">
        <v>168</v>
      </c>
      <c r="B169" s="17" t="s">
        <v>849</v>
      </c>
      <c r="C169" s="17" t="s">
        <v>173</v>
      </c>
      <c r="D169" s="17" t="s">
        <v>850</v>
      </c>
      <c r="E169" s="17" t="s">
        <v>851</v>
      </c>
      <c r="F169" s="17" t="s">
        <v>852</v>
      </c>
      <c r="G169" s="17" t="s">
        <v>43</v>
      </c>
      <c r="H169" s="18" t="n">
        <v>1800</v>
      </c>
      <c r="I169" s="18" t="n">
        <v>0</v>
      </c>
      <c r="J169" s="17" t="s">
        <v>824</v>
      </c>
      <c r="K169" s="17"/>
      <c r="L169" s="17" t="s">
        <v>45</v>
      </c>
      <c r="M169" s="17" t="s">
        <v>46</v>
      </c>
      <c r="N169" s="17"/>
    </row>
    <row r="170" customFormat="false" ht="26.85" hidden="false" customHeight="false" outlineLevel="0" collapsed="false">
      <c r="A170" s="16" t="n">
        <v>169</v>
      </c>
      <c r="B170" s="17" t="s">
        <v>853</v>
      </c>
      <c r="C170" s="17" t="s">
        <v>224</v>
      </c>
      <c r="D170" s="17" t="s">
        <v>854</v>
      </c>
      <c r="E170" s="17" t="s">
        <v>855</v>
      </c>
      <c r="F170" s="17" t="s">
        <v>856</v>
      </c>
      <c r="G170" s="17" t="s">
        <v>43</v>
      </c>
      <c r="H170" s="18" t="n">
        <v>1800</v>
      </c>
      <c r="I170" s="18" t="n">
        <v>0</v>
      </c>
      <c r="J170" s="17" t="s">
        <v>824</v>
      </c>
      <c r="K170" s="17"/>
      <c r="L170" s="17" t="s">
        <v>45</v>
      </c>
      <c r="M170" s="17" t="s">
        <v>46</v>
      </c>
      <c r="N170" s="17"/>
    </row>
    <row r="171" customFormat="false" ht="39.55" hidden="false" customHeight="false" outlineLevel="0" collapsed="false">
      <c r="A171" s="16" t="n">
        <v>170</v>
      </c>
      <c r="B171" s="17" t="s">
        <v>857</v>
      </c>
      <c r="C171" s="17" t="s">
        <v>136</v>
      </c>
      <c r="D171" s="17" t="s">
        <v>397</v>
      </c>
      <c r="E171" s="17" t="s">
        <v>858</v>
      </c>
      <c r="F171" s="17" t="s">
        <v>859</v>
      </c>
      <c r="G171" s="17" t="s">
        <v>43</v>
      </c>
      <c r="H171" s="18" t="n">
        <v>1800</v>
      </c>
      <c r="I171" s="18" t="n">
        <v>0</v>
      </c>
      <c r="J171" s="17" t="s">
        <v>824</v>
      </c>
      <c r="K171" s="17"/>
      <c r="L171" s="17" t="s">
        <v>45</v>
      </c>
      <c r="M171" s="17" t="s">
        <v>46</v>
      </c>
      <c r="N171" s="17"/>
    </row>
    <row r="172" customFormat="false" ht="26.85" hidden="false" customHeight="false" outlineLevel="0" collapsed="false">
      <c r="A172" s="16" t="n">
        <v>171</v>
      </c>
      <c r="B172" s="17" t="s">
        <v>860</v>
      </c>
      <c r="C172" s="17" t="s">
        <v>191</v>
      </c>
      <c r="D172" s="17" t="s">
        <v>861</v>
      </c>
      <c r="E172" s="17" t="s">
        <v>862</v>
      </c>
      <c r="F172" s="17" t="s">
        <v>863</v>
      </c>
      <c r="G172" s="17" t="s">
        <v>43</v>
      </c>
      <c r="H172" s="18" t="n">
        <v>1800</v>
      </c>
      <c r="I172" s="18" t="n">
        <v>0</v>
      </c>
      <c r="J172" s="17" t="s">
        <v>824</v>
      </c>
      <c r="K172" s="17"/>
      <c r="L172" s="17" t="s">
        <v>45</v>
      </c>
      <c r="M172" s="17" t="s">
        <v>46</v>
      </c>
      <c r="N172" s="17"/>
    </row>
    <row r="173" customFormat="false" ht="64.9" hidden="false" customHeight="false" outlineLevel="0" collapsed="false">
      <c r="A173" s="12" t="n">
        <v>172</v>
      </c>
      <c r="B173" s="13" t="s">
        <v>864</v>
      </c>
      <c r="C173" s="13" t="s">
        <v>61</v>
      </c>
      <c r="D173" s="13" t="s">
        <v>865</v>
      </c>
      <c r="E173" s="13" t="s">
        <v>866</v>
      </c>
      <c r="F173" s="13" t="s">
        <v>867</v>
      </c>
      <c r="G173" s="13" t="s">
        <v>43</v>
      </c>
      <c r="H173" s="14" t="n">
        <v>1500</v>
      </c>
      <c r="I173" s="14" t="n">
        <v>0</v>
      </c>
      <c r="J173" s="13" t="s">
        <v>868</v>
      </c>
      <c r="K173" s="13"/>
      <c r="L173" s="13" t="s">
        <v>53</v>
      </c>
      <c r="M173" s="13" t="s">
        <v>46</v>
      </c>
      <c r="N173" s="13"/>
    </row>
    <row r="174" customFormat="false" ht="64.9" hidden="false" customHeight="false" outlineLevel="0" collapsed="false">
      <c r="A174" s="12" t="n">
        <v>173</v>
      </c>
      <c r="B174" s="13" t="s">
        <v>869</v>
      </c>
      <c r="C174" s="13" t="s">
        <v>55</v>
      </c>
      <c r="D174" s="13" t="s">
        <v>870</v>
      </c>
      <c r="E174" s="13" t="s">
        <v>871</v>
      </c>
      <c r="F174" s="13" t="s">
        <v>872</v>
      </c>
      <c r="G174" s="13" t="s">
        <v>43</v>
      </c>
      <c r="H174" s="14" t="n">
        <v>1500</v>
      </c>
      <c r="I174" s="14" t="n">
        <v>0</v>
      </c>
      <c r="J174" s="13" t="s">
        <v>873</v>
      </c>
      <c r="K174" s="13"/>
      <c r="L174" s="13" t="s">
        <v>53</v>
      </c>
      <c r="M174" s="13" t="s">
        <v>46</v>
      </c>
      <c r="N174" s="13"/>
    </row>
    <row r="175" customFormat="false" ht="26.85" hidden="false" customHeight="false" outlineLevel="0" collapsed="false">
      <c r="A175" s="16" t="n">
        <v>174</v>
      </c>
      <c r="B175" s="17" t="s">
        <v>874</v>
      </c>
      <c r="C175" s="17" t="s">
        <v>87</v>
      </c>
      <c r="D175" s="17" t="s">
        <v>875</v>
      </c>
      <c r="E175" s="17" t="s">
        <v>876</v>
      </c>
      <c r="F175" s="17" t="s">
        <v>877</v>
      </c>
      <c r="G175" s="17" t="s">
        <v>43</v>
      </c>
      <c r="H175" s="18" t="n">
        <v>1500</v>
      </c>
      <c r="I175" s="18" t="n">
        <v>0</v>
      </c>
      <c r="J175" s="17" t="s">
        <v>878</v>
      </c>
      <c r="K175" s="17"/>
      <c r="L175" s="17" t="s">
        <v>53</v>
      </c>
      <c r="M175" s="17" t="s">
        <v>46</v>
      </c>
      <c r="N175" s="17"/>
    </row>
    <row r="176" customFormat="false" ht="26.85" hidden="false" customHeight="false" outlineLevel="0" collapsed="false">
      <c r="A176" s="16" t="n">
        <v>175</v>
      </c>
      <c r="B176" s="17" t="s">
        <v>879</v>
      </c>
      <c r="C176" s="17" t="s">
        <v>109</v>
      </c>
      <c r="D176" s="17" t="s">
        <v>880</v>
      </c>
      <c r="E176" s="17" t="s">
        <v>881</v>
      </c>
      <c r="F176" s="17" t="s">
        <v>882</v>
      </c>
      <c r="G176" s="17" t="s">
        <v>43</v>
      </c>
      <c r="H176" s="18" t="n">
        <v>1800</v>
      </c>
      <c r="I176" s="18" t="n">
        <v>0</v>
      </c>
      <c r="J176" s="17" t="s">
        <v>883</v>
      </c>
      <c r="K176" s="17"/>
      <c r="L176" s="17" t="s">
        <v>45</v>
      </c>
      <c r="M176" s="17" t="s">
        <v>46</v>
      </c>
      <c r="N176" s="17"/>
    </row>
    <row r="177" customFormat="false" ht="64.9" hidden="false" customHeight="false" outlineLevel="0" collapsed="false">
      <c r="A177" s="16" t="n">
        <v>176</v>
      </c>
      <c r="B177" s="17" t="s">
        <v>884</v>
      </c>
      <c r="C177" s="17" t="s">
        <v>263</v>
      </c>
      <c r="D177" s="17" t="s">
        <v>885</v>
      </c>
      <c r="E177" s="17" t="s">
        <v>886</v>
      </c>
      <c r="F177" s="17" t="s">
        <v>887</v>
      </c>
      <c r="G177" s="17" t="s">
        <v>43</v>
      </c>
      <c r="H177" s="18" t="n">
        <v>1800</v>
      </c>
      <c r="I177" s="18" t="n">
        <v>0</v>
      </c>
      <c r="J177" s="17" t="s">
        <v>888</v>
      </c>
      <c r="K177" s="17"/>
      <c r="L177" s="17" t="s">
        <v>45</v>
      </c>
      <c r="M177" s="17" t="s">
        <v>46</v>
      </c>
      <c r="N177" s="17"/>
    </row>
    <row r="178" customFormat="false" ht="26.85" hidden="false" customHeight="false" outlineLevel="0" collapsed="false">
      <c r="A178" s="16" t="n">
        <v>177</v>
      </c>
      <c r="B178" s="17" t="s">
        <v>889</v>
      </c>
      <c r="C178" s="17" t="s">
        <v>125</v>
      </c>
      <c r="D178" s="17" t="s">
        <v>890</v>
      </c>
      <c r="E178" s="17" t="s">
        <v>891</v>
      </c>
      <c r="F178" s="17" t="s">
        <v>892</v>
      </c>
      <c r="G178" s="17" t="s">
        <v>43</v>
      </c>
      <c r="H178" s="18" t="n">
        <v>1800</v>
      </c>
      <c r="I178" s="18" t="n">
        <v>0</v>
      </c>
      <c r="J178" s="17" t="s">
        <v>893</v>
      </c>
      <c r="K178" s="17"/>
      <c r="L178" s="17" t="s">
        <v>45</v>
      </c>
      <c r="M178" s="17" t="s">
        <v>46</v>
      </c>
      <c r="N178" s="17"/>
    </row>
    <row r="179" customFormat="false" ht="26.85" hidden="false" customHeight="false" outlineLevel="0" collapsed="false">
      <c r="A179" s="16" t="n">
        <v>178</v>
      </c>
      <c r="B179" s="17" t="s">
        <v>894</v>
      </c>
      <c r="C179" s="17" t="s">
        <v>55</v>
      </c>
      <c r="D179" s="17" t="s">
        <v>895</v>
      </c>
      <c r="E179" s="17" t="s">
        <v>896</v>
      </c>
      <c r="F179" s="17" t="s">
        <v>897</v>
      </c>
      <c r="G179" s="17" t="s">
        <v>43</v>
      </c>
      <c r="H179" s="18" t="n">
        <v>1500</v>
      </c>
      <c r="I179" s="18" t="n">
        <v>0</v>
      </c>
      <c r="J179" s="17" t="s">
        <v>898</v>
      </c>
      <c r="K179" s="17"/>
      <c r="L179" s="17" t="s">
        <v>53</v>
      </c>
      <c r="M179" s="17" t="s">
        <v>46</v>
      </c>
      <c r="N179" s="17"/>
    </row>
    <row r="180" customFormat="false" ht="26.85" hidden="false" customHeight="false" outlineLevel="0" collapsed="false">
      <c r="A180" s="16" t="n">
        <v>179</v>
      </c>
      <c r="B180" s="17" t="s">
        <v>899</v>
      </c>
      <c r="C180" s="17" t="s">
        <v>601</v>
      </c>
      <c r="D180" s="17" t="s">
        <v>900</v>
      </c>
      <c r="E180" s="17" t="s">
        <v>901</v>
      </c>
      <c r="F180" s="17" t="s">
        <v>902</v>
      </c>
      <c r="G180" s="17" t="s">
        <v>43</v>
      </c>
      <c r="H180" s="18" t="n">
        <v>1500</v>
      </c>
      <c r="I180" s="18" t="n">
        <v>0</v>
      </c>
      <c r="J180" s="17" t="s">
        <v>903</v>
      </c>
      <c r="K180" s="17"/>
      <c r="L180" s="17" t="s">
        <v>53</v>
      </c>
      <c r="M180" s="17" t="s">
        <v>46</v>
      </c>
      <c r="N180" s="17"/>
    </row>
    <row r="181" customFormat="false" ht="39.55" hidden="false" customHeight="false" outlineLevel="0" collapsed="false">
      <c r="A181" s="16" t="n">
        <v>180</v>
      </c>
      <c r="B181" s="17" t="s">
        <v>904</v>
      </c>
      <c r="C181" s="17" t="s">
        <v>200</v>
      </c>
      <c r="D181" s="17" t="s">
        <v>905</v>
      </c>
      <c r="E181" s="17" t="s">
        <v>906</v>
      </c>
      <c r="F181" s="17" t="s">
        <v>907</v>
      </c>
      <c r="G181" s="17" t="s">
        <v>43</v>
      </c>
      <c r="H181" s="18" t="n">
        <v>1800</v>
      </c>
      <c r="I181" s="18" t="n">
        <v>0</v>
      </c>
      <c r="J181" s="17" t="s">
        <v>908</v>
      </c>
      <c r="K181" s="17"/>
      <c r="L181" s="17" t="s">
        <v>45</v>
      </c>
      <c r="M181" s="17" t="s">
        <v>46</v>
      </c>
      <c r="N181" s="17"/>
    </row>
    <row r="182" customFormat="false" ht="26.85" hidden="false" customHeight="false" outlineLevel="0" collapsed="false">
      <c r="A182" s="16" t="n">
        <v>181</v>
      </c>
      <c r="B182" s="17" t="s">
        <v>909</v>
      </c>
      <c r="C182" s="17" t="s">
        <v>278</v>
      </c>
      <c r="D182" s="17" t="s">
        <v>910</v>
      </c>
      <c r="E182" s="17" t="s">
        <v>911</v>
      </c>
      <c r="F182" s="17" t="s">
        <v>912</v>
      </c>
      <c r="G182" s="17" t="s">
        <v>43</v>
      </c>
      <c r="H182" s="18" t="n">
        <v>1800</v>
      </c>
      <c r="I182" s="18" t="n">
        <v>0</v>
      </c>
      <c r="J182" s="17" t="s">
        <v>913</v>
      </c>
      <c r="K182" s="17"/>
      <c r="L182" s="17" t="s">
        <v>45</v>
      </c>
      <c r="M182" s="17" t="s">
        <v>46</v>
      </c>
      <c r="N182" s="17"/>
    </row>
    <row r="183" customFormat="false" ht="26.85" hidden="false" customHeight="false" outlineLevel="0" collapsed="false">
      <c r="A183" s="16" t="n">
        <v>182</v>
      </c>
      <c r="B183" s="17" t="s">
        <v>914</v>
      </c>
      <c r="C183" s="17" t="s">
        <v>109</v>
      </c>
      <c r="D183" s="17" t="s">
        <v>915</v>
      </c>
      <c r="E183" s="17" t="s">
        <v>916</v>
      </c>
      <c r="F183" s="17" t="s">
        <v>917</v>
      </c>
      <c r="G183" s="17" t="s">
        <v>43</v>
      </c>
      <c r="H183" s="18" t="n">
        <v>1800</v>
      </c>
      <c r="I183" s="18" t="n">
        <v>0</v>
      </c>
      <c r="J183" s="17" t="s">
        <v>918</v>
      </c>
      <c r="K183" s="17"/>
      <c r="L183" s="17" t="s">
        <v>45</v>
      </c>
      <c r="M183" s="17" t="s">
        <v>46</v>
      </c>
      <c r="N183" s="17"/>
    </row>
    <row r="184" customFormat="false" ht="26.85" hidden="false" customHeight="false" outlineLevel="0" collapsed="false">
      <c r="A184" s="16" t="n">
        <v>183</v>
      </c>
      <c r="B184" s="17" t="s">
        <v>919</v>
      </c>
      <c r="C184" s="17" t="s">
        <v>489</v>
      </c>
      <c r="D184" s="17" t="s">
        <v>920</v>
      </c>
      <c r="E184" s="17" t="s">
        <v>921</v>
      </c>
      <c r="F184" s="17" t="s">
        <v>922</v>
      </c>
      <c r="G184" s="17" t="s">
        <v>43</v>
      </c>
      <c r="H184" s="18" t="n">
        <v>1800</v>
      </c>
      <c r="I184" s="18" t="n">
        <v>0</v>
      </c>
      <c r="J184" s="17" t="s">
        <v>923</v>
      </c>
      <c r="K184" s="17"/>
      <c r="L184" s="17" t="s">
        <v>45</v>
      </c>
      <c r="M184" s="17" t="s">
        <v>46</v>
      </c>
      <c r="N184" s="17"/>
    </row>
    <row r="185" customFormat="false" ht="52.2" hidden="false" customHeight="false" outlineLevel="0" collapsed="false">
      <c r="A185" s="16" t="n">
        <v>184</v>
      </c>
      <c r="B185" s="17" t="s">
        <v>924</v>
      </c>
      <c r="C185" s="17" t="s">
        <v>224</v>
      </c>
      <c r="D185" s="17" t="s">
        <v>925</v>
      </c>
      <c r="E185" s="17" t="s">
        <v>926</v>
      </c>
      <c r="F185" s="17" t="s">
        <v>927</v>
      </c>
      <c r="G185" s="17" t="s">
        <v>43</v>
      </c>
      <c r="H185" s="18" t="n">
        <v>1800</v>
      </c>
      <c r="I185" s="18" t="n">
        <v>0</v>
      </c>
      <c r="J185" s="17" t="s">
        <v>928</v>
      </c>
      <c r="K185" s="17"/>
      <c r="L185" s="17" t="s">
        <v>45</v>
      </c>
      <c r="M185" s="17" t="s">
        <v>46</v>
      </c>
      <c r="N185" s="17"/>
    </row>
    <row r="186" customFormat="false" ht="39.55" hidden="false" customHeight="false" outlineLevel="0" collapsed="false">
      <c r="A186" s="16" t="n">
        <v>185</v>
      </c>
      <c r="B186" s="17" t="s">
        <v>929</v>
      </c>
      <c r="C186" s="17" t="s">
        <v>580</v>
      </c>
      <c r="D186" s="17" t="s">
        <v>930</v>
      </c>
      <c r="E186" s="17" t="s">
        <v>931</v>
      </c>
      <c r="F186" s="17" t="s">
        <v>932</v>
      </c>
      <c r="G186" s="17" t="s">
        <v>43</v>
      </c>
      <c r="H186" s="18" t="n">
        <v>1800</v>
      </c>
      <c r="I186" s="18" t="n">
        <v>0</v>
      </c>
      <c r="J186" s="17" t="s">
        <v>933</v>
      </c>
      <c r="K186" s="17"/>
      <c r="L186" s="17" t="s">
        <v>45</v>
      </c>
      <c r="M186" s="17" t="s">
        <v>46</v>
      </c>
      <c r="N186" s="17"/>
    </row>
    <row r="187" customFormat="false" ht="39.55" hidden="false" customHeight="false" outlineLevel="0" collapsed="false">
      <c r="A187" s="16" t="n">
        <v>186</v>
      </c>
      <c r="B187" s="17" t="s">
        <v>934</v>
      </c>
      <c r="C187" s="17" t="s">
        <v>55</v>
      </c>
      <c r="D187" s="17" t="s">
        <v>935</v>
      </c>
      <c r="E187" s="17" t="s">
        <v>936</v>
      </c>
      <c r="F187" s="17" t="s">
        <v>937</v>
      </c>
      <c r="G187" s="17" t="s">
        <v>43</v>
      </c>
      <c r="H187" s="18" t="n">
        <v>1500</v>
      </c>
      <c r="I187" s="18" t="n">
        <v>0</v>
      </c>
      <c r="J187" s="17" t="s">
        <v>938</v>
      </c>
      <c r="K187" s="17"/>
      <c r="L187" s="17" t="s">
        <v>53</v>
      </c>
      <c r="M187" s="17" t="s">
        <v>46</v>
      </c>
      <c r="N187" s="17"/>
    </row>
    <row r="188" customFormat="false" ht="26.85" hidden="false" customHeight="false" outlineLevel="0" collapsed="false">
      <c r="A188" s="16" t="n">
        <v>187</v>
      </c>
      <c r="B188" s="17" t="s">
        <v>939</v>
      </c>
      <c r="C188" s="17" t="s">
        <v>402</v>
      </c>
      <c r="D188" s="17" t="s">
        <v>940</v>
      </c>
      <c r="E188" s="17" t="s">
        <v>941</v>
      </c>
      <c r="F188" s="17" t="s">
        <v>942</v>
      </c>
      <c r="G188" s="17" t="s">
        <v>43</v>
      </c>
      <c r="H188" s="18" t="n">
        <v>1500</v>
      </c>
      <c r="I188" s="18" t="n">
        <v>0</v>
      </c>
      <c r="J188" s="17" t="s">
        <v>943</v>
      </c>
      <c r="K188" s="17"/>
      <c r="L188" s="17" t="s">
        <v>53</v>
      </c>
      <c r="M188" s="17" t="s">
        <v>46</v>
      </c>
      <c r="N188" s="17"/>
    </row>
    <row r="189" customFormat="false" ht="26.85" hidden="false" customHeight="false" outlineLevel="0" collapsed="false">
      <c r="A189" s="16" t="n">
        <v>188</v>
      </c>
      <c r="B189" s="17" t="s">
        <v>944</v>
      </c>
      <c r="C189" s="17" t="s">
        <v>433</v>
      </c>
      <c r="D189" s="17" t="s">
        <v>945</v>
      </c>
      <c r="E189" s="17" t="s">
        <v>946</v>
      </c>
      <c r="F189" s="17" t="s">
        <v>947</v>
      </c>
      <c r="G189" s="17" t="s">
        <v>43</v>
      </c>
      <c r="H189" s="18" t="n">
        <v>1500</v>
      </c>
      <c r="I189" s="18" t="n">
        <v>0</v>
      </c>
      <c r="J189" s="17" t="s">
        <v>948</v>
      </c>
      <c r="K189" s="17"/>
      <c r="L189" s="17" t="s">
        <v>53</v>
      </c>
      <c r="M189" s="17" t="s">
        <v>46</v>
      </c>
      <c r="N189" s="17"/>
    </row>
    <row r="190" customFormat="false" ht="26.85" hidden="false" customHeight="false" outlineLevel="0" collapsed="false">
      <c r="A190" s="16" t="n">
        <v>189</v>
      </c>
      <c r="B190" s="17" t="s">
        <v>949</v>
      </c>
      <c r="C190" s="17" t="s">
        <v>55</v>
      </c>
      <c r="D190" s="17" t="s">
        <v>950</v>
      </c>
      <c r="E190" s="17" t="s">
        <v>951</v>
      </c>
      <c r="F190" s="17" t="s">
        <v>952</v>
      </c>
      <c r="G190" s="17" t="s">
        <v>43</v>
      </c>
      <c r="H190" s="18" t="n">
        <v>1500</v>
      </c>
      <c r="I190" s="18" t="n">
        <v>0</v>
      </c>
      <c r="J190" s="17" t="s">
        <v>953</v>
      </c>
      <c r="K190" s="17"/>
      <c r="L190" s="17" t="s">
        <v>53</v>
      </c>
      <c r="M190" s="17" t="s">
        <v>46</v>
      </c>
      <c r="N190" s="17"/>
    </row>
    <row r="191" customFormat="false" ht="26.85" hidden="false" customHeight="false" outlineLevel="0" collapsed="false">
      <c r="A191" s="16" t="n">
        <v>190</v>
      </c>
      <c r="B191" s="17" t="s">
        <v>954</v>
      </c>
      <c r="C191" s="17" t="s">
        <v>125</v>
      </c>
      <c r="D191" s="17" t="s">
        <v>955</v>
      </c>
      <c r="E191" s="17" t="s">
        <v>956</v>
      </c>
      <c r="F191" s="17" t="s">
        <v>957</v>
      </c>
      <c r="G191" s="17" t="s">
        <v>43</v>
      </c>
      <c r="H191" s="18" t="n">
        <v>1800</v>
      </c>
      <c r="I191" s="18" t="n">
        <v>0</v>
      </c>
      <c r="J191" s="17" t="s">
        <v>958</v>
      </c>
      <c r="K191" s="17"/>
      <c r="L191" s="17" t="s">
        <v>45</v>
      </c>
      <c r="M191" s="17" t="s">
        <v>46</v>
      </c>
      <c r="N191" s="17"/>
    </row>
    <row r="192" customFormat="false" ht="26.85" hidden="false" customHeight="false" outlineLevel="0" collapsed="false">
      <c r="A192" s="16" t="n">
        <v>191</v>
      </c>
      <c r="B192" s="17" t="s">
        <v>959</v>
      </c>
      <c r="C192" s="17" t="s">
        <v>61</v>
      </c>
      <c r="D192" s="17" t="s">
        <v>960</v>
      </c>
      <c r="E192" s="17" t="s">
        <v>961</v>
      </c>
      <c r="F192" s="17" t="s">
        <v>962</v>
      </c>
      <c r="G192" s="17" t="s">
        <v>43</v>
      </c>
      <c r="H192" s="18" t="n">
        <v>1500</v>
      </c>
      <c r="I192" s="18" t="n">
        <v>0</v>
      </c>
      <c r="J192" s="17" t="s">
        <v>963</v>
      </c>
      <c r="K192" s="17"/>
      <c r="L192" s="17" t="s">
        <v>53</v>
      </c>
      <c r="M192" s="17" t="s">
        <v>46</v>
      </c>
      <c r="N192" s="17"/>
    </row>
    <row r="193" customFormat="false" ht="26.85" hidden="false" customHeight="false" outlineLevel="0" collapsed="false">
      <c r="A193" s="16" t="n">
        <v>192</v>
      </c>
      <c r="B193" s="17" t="s">
        <v>964</v>
      </c>
      <c r="C193" s="17" t="s">
        <v>81</v>
      </c>
      <c r="D193" s="17" t="s">
        <v>965</v>
      </c>
      <c r="E193" s="17" t="s">
        <v>966</v>
      </c>
      <c r="F193" s="17" t="s">
        <v>967</v>
      </c>
      <c r="G193" s="17" t="s">
        <v>43</v>
      </c>
      <c r="H193" s="18" t="n">
        <v>1500</v>
      </c>
      <c r="I193" s="18" t="n">
        <v>0</v>
      </c>
      <c r="J193" s="17" t="s">
        <v>968</v>
      </c>
      <c r="K193" s="17"/>
      <c r="L193" s="17" t="s">
        <v>53</v>
      </c>
      <c r="M193" s="17" t="s">
        <v>46</v>
      </c>
      <c r="N193" s="17"/>
    </row>
    <row r="194" customFormat="false" ht="26.85" hidden="false" customHeight="false" outlineLevel="0" collapsed="false">
      <c r="A194" s="16" t="n">
        <v>193</v>
      </c>
      <c r="B194" s="17" t="s">
        <v>969</v>
      </c>
      <c r="C194" s="17" t="s">
        <v>278</v>
      </c>
      <c r="D194" s="17" t="s">
        <v>970</v>
      </c>
      <c r="E194" s="17" t="s">
        <v>971</v>
      </c>
      <c r="F194" s="17" t="s">
        <v>972</v>
      </c>
      <c r="G194" s="17" t="s">
        <v>43</v>
      </c>
      <c r="H194" s="18" t="n">
        <v>1800</v>
      </c>
      <c r="I194" s="18" t="n">
        <v>0</v>
      </c>
      <c r="J194" s="17" t="s">
        <v>973</v>
      </c>
      <c r="K194" s="17"/>
      <c r="L194" s="17" t="s">
        <v>45</v>
      </c>
      <c r="M194" s="17" t="s">
        <v>46</v>
      </c>
      <c r="N194" s="17"/>
    </row>
    <row r="195" customFormat="false" ht="26.85" hidden="false" customHeight="false" outlineLevel="0" collapsed="false">
      <c r="A195" s="16" t="n">
        <v>194</v>
      </c>
      <c r="B195" s="17" t="s">
        <v>974</v>
      </c>
      <c r="C195" s="17" t="s">
        <v>81</v>
      </c>
      <c r="D195" s="17" t="s">
        <v>975</v>
      </c>
      <c r="E195" s="17" t="s">
        <v>976</v>
      </c>
      <c r="F195" s="17" t="s">
        <v>977</v>
      </c>
      <c r="G195" s="17" t="s">
        <v>43</v>
      </c>
      <c r="H195" s="18" t="n">
        <v>1500</v>
      </c>
      <c r="I195" s="18" t="n">
        <v>0</v>
      </c>
      <c r="J195" s="17" t="s">
        <v>978</v>
      </c>
      <c r="K195" s="17"/>
      <c r="L195" s="17" t="s">
        <v>53</v>
      </c>
      <c r="M195" s="17" t="s">
        <v>46</v>
      </c>
      <c r="N195" s="17"/>
    </row>
    <row r="196" customFormat="false" ht="26.85" hidden="false" customHeight="false" outlineLevel="0" collapsed="false">
      <c r="A196" s="16" t="n">
        <v>195</v>
      </c>
      <c r="B196" s="17" t="s">
        <v>979</v>
      </c>
      <c r="C196" s="17" t="s">
        <v>136</v>
      </c>
      <c r="D196" s="17" t="s">
        <v>980</v>
      </c>
      <c r="E196" s="17" t="s">
        <v>981</v>
      </c>
      <c r="F196" s="17" t="s">
        <v>982</v>
      </c>
      <c r="G196" s="17" t="s">
        <v>43</v>
      </c>
      <c r="H196" s="18" t="n">
        <v>1800</v>
      </c>
      <c r="I196" s="18" t="n">
        <v>0</v>
      </c>
      <c r="J196" s="17" t="s">
        <v>978</v>
      </c>
      <c r="K196" s="17"/>
      <c r="L196" s="17" t="s">
        <v>45</v>
      </c>
      <c r="M196" s="17" t="s">
        <v>46</v>
      </c>
      <c r="N196" s="17"/>
    </row>
    <row r="197" customFormat="false" ht="26.85" hidden="false" customHeight="false" outlineLevel="0" collapsed="false">
      <c r="A197" s="16" t="n">
        <v>196</v>
      </c>
      <c r="B197" s="17" t="s">
        <v>983</v>
      </c>
      <c r="C197" s="17" t="s">
        <v>402</v>
      </c>
      <c r="D197" s="17" t="s">
        <v>984</v>
      </c>
      <c r="E197" s="17" t="s">
        <v>985</v>
      </c>
      <c r="F197" s="17" t="s">
        <v>986</v>
      </c>
      <c r="G197" s="17" t="s">
        <v>43</v>
      </c>
      <c r="H197" s="18" t="n">
        <v>1500</v>
      </c>
      <c r="I197" s="18" t="n">
        <v>0</v>
      </c>
      <c r="J197" s="17" t="s">
        <v>978</v>
      </c>
      <c r="K197" s="17"/>
      <c r="L197" s="17" t="s">
        <v>53</v>
      </c>
      <c r="M197" s="17" t="s">
        <v>46</v>
      </c>
      <c r="N197" s="17"/>
    </row>
    <row r="198" customFormat="false" ht="52.2" hidden="false" customHeight="false" outlineLevel="0" collapsed="false">
      <c r="A198" s="16" t="n">
        <v>197</v>
      </c>
      <c r="B198" s="17" t="s">
        <v>987</v>
      </c>
      <c r="C198" s="17" t="s">
        <v>278</v>
      </c>
      <c r="D198" s="17" t="s">
        <v>988</v>
      </c>
      <c r="E198" s="17" t="s">
        <v>989</v>
      </c>
      <c r="F198" s="17" t="s">
        <v>990</v>
      </c>
      <c r="G198" s="17" t="s">
        <v>43</v>
      </c>
      <c r="H198" s="18" t="n">
        <v>1800</v>
      </c>
      <c r="I198" s="18" t="n">
        <v>0</v>
      </c>
      <c r="J198" s="17" t="s">
        <v>991</v>
      </c>
      <c r="K198" s="17"/>
      <c r="L198" s="17" t="s">
        <v>45</v>
      </c>
      <c r="M198" s="17" t="s">
        <v>46</v>
      </c>
      <c r="N198" s="17"/>
    </row>
    <row r="199" customFormat="false" ht="52.2" hidden="false" customHeight="false" outlineLevel="0" collapsed="false">
      <c r="A199" s="16" t="n">
        <v>198</v>
      </c>
      <c r="B199" s="17" t="s">
        <v>992</v>
      </c>
      <c r="C199" s="17" t="s">
        <v>224</v>
      </c>
      <c r="D199" s="17" t="s">
        <v>993</v>
      </c>
      <c r="E199" s="17" t="s">
        <v>994</v>
      </c>
      <c r="F199" s="17" t="s">
        <v>995</v>
      </c>
      <c r="G199" s="17" t="s">
        <v>43</v>
      </c>
      <c r="H199" s="18" t="n">
        <v>1800</v>
      </c>
      <c r="I199" s="18" t="n">
        <v>0</v>
      </c>
      <c r="J199" s="17" t="s">
        <v>996</v>
      </c>
      <c r="K199" s="17"/>
      <c r="L199" s="17" t="s">
        <v>45</v>
      </c>
      <c r="M199" s="17" t="s">
        <v>46</v>
      </c>
      <c r="N199" s="17"/>
    </row>
    <row r="200" customFormat="false" ht="39.55" hidden="false" customHeight="false" outlineLevel="0" collapsed="false">
      <c r="A200" s="16" t="n">
        <v>199</v>
      </c>
      <c r="B200" s="17" t="s">
        <v>997</v>
      </c>
      <c r="C200" s="17" t="s">
        <v>200</v>
      </c>
      <c r="D200" s="17" t="s">
        <v>998</v>
      </c>
      <c r="E200" s="17" t="s">
        <v>999</v>
      </c>
      <c r="F200" s="17" t="s">
        <v>1000</v>
      </c>
      <c r="G200" s="17" t="s">
        <v>43</v>
      </c>
      <c r="H200" s="18" t="n">
        <v>1800</v>
      </c>
      <c r="I200" s="18" t="n">
        <v>0</v>
      </c>
      <c r="J200" s="17" t="s">
        <v>1001</v>
      </c>
      <c r="K200" s="17"/>
      <c r="L200" s="17" t="s">
        <v>45</v>
      </c>
      <c r="M200" s="17" t="s">
        <v>46</v>
      </c>
      <c r="N200" s="17"/>
    </row>
    <row r="201" customFormat="false" ht="39.55" hidden="false" customHeight="false" outlineLevel="0" collapsed="false">
      <c r="A201" s="16" t="n">
        <v>200</v>
      </c>
      <c r="B201" s="17" t="s">
        <v>1002</v>
      </c>
      <c r="C201" s="17" t="s">
        <v>55</v>
      </c>
      <c r="D201" s="17" t="s">
        <v>1003</v>
      </c>
      <c r="E201" s="17" t="s">
        <v>1004</v>
      </c>
      <c r="F201" s="17" t="s">
        <v>1005</v>
      </c>
      <c r="G201" s="17" t="s">
        <v>43</v>
      </c>
      <c r="H201" s="18" t="n">
        <v>1500</v>
      </c>
      <c r="I201" s="18" t="n">
        <v>0</v>
      </c>
      <c r="J201" s="17" t="s">
        <v>1006</v>
      </c>
      <c r="K201" s="17"/>
      <c r="L201" s="17" t="s">
        <v>53</v>
      </c>
      <c r="M201" s="17" t="s">
        <v>46</v>
      </c>
      <c r="N201" s="17"/>
    </row>
    <row r="202" customFormat="false" ht="26.85" hidden="false" customHeight="false" outlineLevel="0" collapsed="false">
      <c r="A202" s="16" t="n">
        <v>201</v>
      </c>
      <c r="B202" s="17" t="s">
        <v>1007</v>
      </c>
      <c r="C202" s="17" t="s">
        <v>93</v>
      </c>
      <c r="D202" s="17" t="s">
        <v>1008</v>
      </c>
      <c r="E202" s="17" t="s">
        <v>1009</v>
      </c>
      <c r="F202" s="17" t="s">
        <v>1010</v>
      </c>
      <c r="G202" s="17" t="s">
        <v>43</v>
      </c>
      <c r="H202" s="18" t="n">
        <v>1500</v>
      </c>
      <c r="I202" s="18" t="n">
        <v>0</v>
      </c>
      <c r="J202" s="17" t="s">
        <v>1011</v>
      </c>
      <c r="K202" s="17"/>
      <c r="L202" s="17" t="s">
        <v>53</v>
      </c>
      <c r="M202" s="17" t="s">
        <v>46</v>
      </c>
      <c r="N202" s="17"/>
    </row>
    <row r="203" customFormat="false" ht="26.85" hidden="false" customHeight="false" outlineLevel="0" collapsed="false">
      <c r="A203" s="16" t="n">
        <v>202</v>
      </c>
      <c r="B203" s="17" t="s">
        <v>1012</v>
      </c>
      <c r="C203" s="17" t="s">
        <v>136</v>
      </c>
      <c r="D203" s="17" t="s">
        <v>1013</v>
      </c>
      <c r="E203" s="17" t="s">
        <v>1014</v>
      </c>
      <c r="F203" s="17" t="s">
        <v>1015</v>
      </c>
      <c r="G203" s="17" t="s">
        <v>43</v>
      </c>
      <c r="H203" s="18" t="n">
        <v>1800</v>
      </c>
      <c r="I203" s="18" t="n">
        <v>0</v>
      </c>
      <c r="J203" s="17" t="s">
        <v>1016</v>
      </c>
      <c r="K203" s="17"/>
      <c r="L203" s="17" t="s">
        <v>45</v>
      </c>
      <c r="M203" s="17" t="s">
        <v>46</v>
      </c>
      <c r="N203" s="17"/>
    </row>
    <row r="204" customFormat="false" ht="39.55" hidden="false" customHeight="false" outlineLevel="0" collapsed="false">
      <c r="A204" s="16" t="n">
        <v>203</v>
      </c>
      <c r="B204" s="17" t="s">
        <v>1017</v>
      </c>
      <c r="C204" s="17" t="s">
        <v>402</v>
      </c>
      <c r="D204" s="17" t="s">
        <v>1018</v>
      </c>
      <c r="E204" s="17" t="s">
        <v>1019</v>
      </c>
      <c r="F204" s="17" t="s">
        <v>1020</v>
      </c>
      <c r="G204" s="17" t="s">
        <v>43</v>
      </c>
      <c r="H204" s="18" t="n">
        <v>1500</v>
      </c>
      <c r="I204" s="18" t="n">
        <v>0</v>
      </c>
      <c r="J204" s="17" t="s">
        <v>1021</v>
      </c>
      <c r="K204" s="17"/>
      <c r="L204" s="17" t="s">
        <v>53</v>
      </c>
      <c r="M204" s="17" t="s">
        <v>46</v>
      </c>
      <c r="N204" s="17"/>
    </row>
    <row r="205" customFormat="false" ht="64.9" hidden="false" customHeight="false" outlineLevel="0" collapsed="false">
      <c r="A205" s="16" t="n">
        <v>204</v>
      </c>
      <c r="B205" s="17" t="s">
        <v>1022</v>
      </c>
      <c r="C205" s="17" t="s">
        <v>278</v>
      </c>
      <c r="D205" s="17" t="s">
        <v>1023</v>
      </c>
      <c r="E205" s="17" t="s">
        <v>1024</v>
      </c>
      <c r="F205" s="17" t="s">
        <v>1025</v>
      </c>
      <c r="G205" s="17" t="s">
        <v>43</v>
      </c>
      <c r="H205" s="18" t="n">
        <v>1800</v>
      </c>
      <c r="I205" s="18" t="n">
        <v>0</v>
      </c>
      <c r="J205" s="17" t="s">
        <v>1026</v>
      </c>
      <c r="K205" s="17"/>
      <c r="L205" s="17" t="s">
        <v>45</v>
      </c>
      <c r="M205" s="17" t="s">
        <v>46</v>
      </c>
      <c r="N205" s="17"/>
    </row>
    <row r="206" customFormat="false" ht="64.9" hidden="false" customHeight="false" outlineLevel="0" collapsed="false">
      <c r="A206" s="16" t="n">
        <v>205</v>
      </c>
      <c r="B206" s="17" t="s">
        <v>1027</v>
      </c>
      <c r="C206" s="17" t="s">
        <v>191</v>
      </c>
      <c r="D206" s="17" t="s">
        <v>1028</v>
      </c>
      <c r="E206" s="17" t="s">
        <v>1029</v>
      </c>
      <c r="F206" s="17" t="s">
        <v>1030</v>
      </c>
      <c r="G206" s="17" t="s">
        <v>43</v>
      </c>
      <c r="H206" s="18" t="n">
        <v>1800</v>
      </c>
      <c r="I206" s="18" t="n">
        <v>0</v>
      </c>
      <c r="J206" s="17" t="s">
        <v>1026</v>
      </c>
      <c r="K206" s="17"/>
      <c r="L206" s="17" t="s">
        <v>45</v>
      </c>
      <c r="M206" s="17" t="s">
        <v>46</v>
      </c>
      <c r="N206" s="17"/>
    </row>
    <row r="207" customFormat="false" ht="39.55" hidden="false" customHeight="false" outlineLevel="0" collapsed="false">
      <c r="A207" s="16" t="n">
        <v>206</v>
      </c>
      <c r="B207" s="17" t="s">
        <v>1031</v>
      </c>
      <c r="C207" s="17" t="s">
        <v>278</v>
      </c>
      <c r="D207" s="17" t="s">
        <v>1032</v>
      </c>
      <c r="E207" s="17" t="s">
        <v>1033</v>
      </c>
      <c r="F207" s="17" t="s">
        <v>1034</v>
      </c>
      <c r="G207" s="17" t="s">
        <v>43</v>
      </c>
      <c r="H207" s="18" t="n">
        <v>1800</v>
      </c>
      <c r="I207" s="18" t="n">
        <v>0</v>
      </c>
      <c r="J207" s="17" t="s">
        <v>1035</v>
      </c>
      <c r="K207" s="17"/>
      <c r="L207" s="17" t="s">
        <v>45</v>
      </c>
      <c r="M207" s="17" t="s">
        <v>46</v>
      </c>
      <c r="N207" s="17"/>
    </row>
    <row r="208" customFormat="false" ht="39.55" hidden="false" customHeight="false" outlineLevel="0" collapsed="false">
      <c r="A208" s="16" t="n">
        <v>207</v>
      </c>
      <c r="B208" s="17" t="s">
        <v>1036</v>
      </c>
      <c r="C208" s="17" t="s">
        <v>81</v>
      </c>
      <c r="D208" s="17" t="s">
        <v>1037</v>
      </c>
      <c r="E208" s="17" t="s">
        <v>1038</v>
      </c>
      <c r="F208" s="17" t="s">
        <v>1039</v>
      </c>
      <c r="G208" s="17" t="s">
        <v>43</v>
      </c>
      <c r="H208" s="18" t="n">
        <v>1500</v>
      </c>
      <c r="I208" s="18" t="n">
        <v>0</v>
      </c>
      <c r="J208" s="17" t="s">
        <v>1040</v>
      </c>
      <c r="K208" s="17"/>
      <c r="L208" s="17" t="s">
        <v>53</v>
      </c>
      <c r="M208" s="17" t="s">
        <v>46</v>
      </c>
      <c r="N208" s="17"/>
    </row>
    <row r="209" customFormat="false" ht="26.85" hidden="false" customHeight="false" outlineLevel="0" collapsed="false">
      <c r="A209" s="16" t="n">
        <v>208</v>
      </c>
      <c r="B209" s="17" t="s">
        <v>1041</v>
      </c>
      <c r="C209" s="17" t="s">
        <v>224</v>
      </c>
      <c r="D209" s="17" t="s">
        <v>1042</v>
      </c>
      <c r="E209" s="17" t="s">
        <v>1043</v>
      </c>
      <c r="F209" s="17" t="s">
        <v>1044</v>
      </c>
      <c r="G209" s="17" t="s">
        <v>43</v>
      </c>
      <c r="H209" s="18" t="n">
        <v>1800</v>
      </c>
      <c r="I209" s="18" t="n">
        <v>0</v>
      </c>
      <c r="J209" s="17" t="s">
        <v>1045</v>
      </c>
      <c r="K209" s="17"/>
      <c r="L209" s="17" t="s">
        <v>45</v>
      </c>
      <c r="M209" s="17" t="s">
        <v>46</v>
      </c>
      <c r="N209" s="17"/>
    </row>
    <row r="210" customFormat="false" ht="26.85" hidden="false" customHeight="false" outlineLevel="0" collapsed="false">
      <c r="A210" s="16" t="n">
        <v>209</v>
      </c>
      <c r="B210" s="17" t="s">
        <v>1046</v>
      </c>
      <c r="C210" s="17" t="s">
        <v>136</v>
      </c>
      <c r="D210" s="17" t="s">
        <v>1047</v>
      </c>
      <c r="E210" s="17" t="s">
        <v>1048</v>
      </c>
      <c r="F210" s="17" t="s">
        <v>1049</v>
      </c>
      <c r="G210" s="17" t="s">
        <v>43</v>
      </c>
      <c r="H210" s="18" t="n">
        <v>1800</v>
      </c>
      <c r="I210" s="18" t="n">
        <v>0</v>
      </c>
      <c r="J210" s="17" t="s">
        <v>1050</v>
      </c>
      <c r="K210" s="17"/>
      <c r="L210" s="17" t="s">
        <v>45</v>
      </c>
      <c r="M210" s="17" t="s">
        <v>46</v>
      </c>
      <c r="N210" s="17"/>
    </row>
    <row r="211" customFormat="false" ht="26.85" hidden="false" customHeight="false" outlineLevel="0" collapsed="false">
      <c r="A211" s="16" t="n">
        <v>210</v>
      </c>
      <c r="B211" s="17" t="s">
        <v>1051</v>
      </c>
      <c r="C211" s="17" t="s">
        <v>224</v>
      </c>
      <c r="D211" s="17" t="s">
        <v>1052</v>
      </c>
      <c r="E211" s="17" t="s">
        <v>1053</v>
      </c>
      <c r="F211" s="17" t="s">
        <v>1054</v>
      </c>
      <c r="G211" s="17" t="s">
        <v>43</v>
      </c>
      <c r="H211" s="18" t="n">
        <v>1800</v>
      </c>
      <c r="I211" s="18" t="n">
        <v>0</v>
      </c>
      <c r="J211" s="17" t="s">
        <v>1055</v>
      </c>
      <c r="K211" s="17"/>
      <c r="L211" s="17" t="s">
        <v>45</v>
      </c>
      <c r="M211" s="17" t="s">
        <v>46</v>
      </c>
      <c r="N211" s="17"/>
    </row>
    <row r="212" customFormat="false" ht="39.55" hidden="false" customHeight="false" outlineLevel="0" collapsed="false">
      <c r="A212" s="16" t="n">
        <v>211</v>
      </c>
      <c r="B212" s="17" t="s">
        <v>1056</v>
      </c>
      <c r="C212" s="17" t="s">
        <v>1057</v>
      </c>
      <c r="D212" s="17" t="s">
        <v>1058</v>
      </c>
      <c r="E212" s="17" t="s">
        <v>1059</v>
      </c>
      <c r="F212" s="17" t="s">
        <v>1060</v>
      </c>
      <c r="G212" s="17" t="s">
        <v>43</v>
      </c>
      <c r="H212" s="18" t="n">
        <v>1800</v>
      </c>
      <c r="I212" s="18" t="n">
        <v>0</v>
      </c>
      <c r="J212" s="17" t="s">
        <v>1061</v>
      </c>
      <c r="K212" s="17"/>
      <c r="L212" s="17" t="s">
        <v>45</v>
      </c>
      <c r="M212" s="17" t="s">
        <v>46</v>
      </c>
      <c r="N212" s="17"/>
    </row>
    <row r="213" customFormat="false" ht="26.85" hidden="false" customHeight="false" outlineLevel="0" collapsed="false">
      <c r="A213" s="16" t="n">
        <v>212</v>
      </c>
      <c r="B213" s="17" t="s">
        <v>1062</v>
      </c>
      <c r="C213" s="17" t="s">
        <v>224</v>
      </c>
      <c r="D213" s="17" t="s">
        <v>1063</v>
      </c>
      <c r="E213" s="17" t="s">
        <v>1064</v>
      </c>
      <c r="F213" s="17" t="s">
        <v>1065</v>
      </c>
      <c r="G213" s="17" t="s">
        <v>43</v>
      </c>
      <c r="H213" s="18" t="n">
        <v>1800</v>
      </c>
      <c r="I213" s="18" t="n">
        <v>0</v>
      </c>
      <c r="J213" s="17" t="s">
        <v>1066</v>
      </c>
      <c r="K213" s="17"/>
      <c r="L213" s="17" t="s">
        <v>45</v>
      </c>
      <c r="M213" s="17" t="s">
        <v>46</v>
      </c>
      <c r="N213" s="17"/>
    </row>
    <row r="214" customFormat="false" ht="39.55" hidden="false" customHeight="false" outlineLevel="0" collapsed="false">
      <c r="A214" s="16" t="n">
        <v>213</v>
      </c>
      <c r="B214" s="17" t="s">
        <v>1067</v>
      </c>
      <c r="C214" s="17" t="s">
        <v>173</v>
      </c>
      <c r="D214" s="17" t="s">
        <v>1068</v>
      </c>
      <c r="E214" s="17" t="s">
        <v>1069</v>
      </c>
      <c r="F214" s="17" t="s">
        <v>1070</v>
      </c>
      <c r="G214" s="17" t="s">
        <v>43</v>
      </c>
      <c r="H214" s="18" t="n">
        <v>1800</v>
      </c>
      <c r="I214" s="18" t="n">
        <v>0</v>
      </c>
      <c r="J214" s="17" t="s">
        <v>1071</v>
      </c>
      <c r="K214" s="17"/>
      <c r="L214" s="17" t="s">
        <v>45</v>
      </c>
      <c r="M214" s="17" t="s">
        <v>46</v>
      </c>
      <c r="N214" s="17"/>
    </row>
    <row r="215" customFormat="false" ht="26.85" hidden="false" customHeight="false" outlineLevel="0" collapsed="false">
      <c r="A215" s="16" t="n">
        <v>214</v>
      </c>
      <c r="B215" s="17" t="s">
        <v>1072</v>
      </c>
      <c r="C215" s="17" t="s">
        <v>775</v>
      </c>
      <c r="D215" s="17" t="s">
        <v>1073</v>
      </c>
      <c r="E215" s="17" t="s">
        <v>1074</v>
      </c>
      <c r="F215" s="17" t="s">
        <v>1075</v>
      </c>
      <c r="G215" s="17" t="s">
        <v>43</v>
      </c>
      <c r="H215" s="18" t="n">
        <v>1800</v>
      </c>
      <c r="I215" s="18" t="n">
        <v>0</v>
      </c>
      <c r="J215" s="17" t="s">
        <v>1076</v>
      </c>
      <c r="K215" s="17"/>
      <c r="L215" s="17" t="s">
        <v>45</v>
      </c>
      <c r="M215" s="17" t="s">
        <v>46</v>
      </c>
      <c r="N215" s="17"/>
    </row>
    <row r="216" customFormat="false" ht="39.55" hidden="false" customHeight="false" outlineLevel="0" collapsed="false">
      <c r="A216" s="16" t="n">
        <v>215</v>
      </c>
      <c r="B216" s="17" t="s">
        <v>1077</v>
      </c>
      <c r="C216" s="17" t="s">
        <v>580</v>
      </c>
      <c r="D216" s="17" t="s">
        <v>1078</v>
      </c>
      <c r="E216" s="17" t="s">
        <v>1079</v>
      </c>
      <c r="F216" s="17" t="s">
        <v>1080</v>
      </c>
      <c r="G216" s="17" t="s">
        <v>43</v>
      </c>
      <c r="H216" s="18" t="n">
        <v>1800</v>
      </c>
      <c r="I216" s="18" t="n">
        <v>0</v>
      </c>
      <c r="J216" s="17" t="s">
        <v>1081</v>
      </c>
      <c r="K216" s="17"/>
      <c r="L216" s="17" t="s">
        <v>45</v>
      </c>
      <c r="M216" s="17" t="s">
        <v>46</v>
      </c>
      <c r="N216" s="17"/>
    </row>
    <row r="217" customFormat="false" ht="26.85" hidden="false" customHeight="false" outlineLevel="0" collapsed="false">
      <c r="A217" s="16" t="n">
        <v>216</v>
      </c>
      <c r="B217" s="17" t="s">
        <v>1082</v>
      </c>
      <c r="C217" s="17" t="s">
        <v>489</v>
      </c>
      <c r="D217" s="17" t="s">
        <v>1083</v>
      </c>
      <c r="E217" s="17" t="s">
        <v>1084</v>
      </c>
      <c r="F217" s="17" t="s">
        <v>1085</v>
      </c>
      <c r="G217" s="17" t="s">
        <v>43</v>
      </c>
      <c r="H217" s="18" t="n">
        <v>1800</v>
      </c>
      <c r="I217" s="18" t="n">
        <v>0</v>
      </c>
      <c r="J217" s="17" t="s">
        <v>1081</v>
      </c>
      <c r="K217" s="17"/>
      <c r="L217" s="17" t="s">
        <v>45</v>
      </c>
      <c r="M217" s="17" t="s">
        <v>46</v>
      </c>
      <c r="N217" s="17"/>
    </row>
    <row r="218" customFormat="false" ht="26.85" hidden="false" customHeight="false" outlineLevel="0" collapsed="false">
      <c r="A218" s="16" t="n">
        <v>217</v>
      </c>
      <c r="B218" s="17" t="s">
        <v>1086</v>
      </c>
      <c r="C218" s="17" t="s">
        <v>402</v>
      </c>
      <c r="D218" s="17" t="s">
        <v>1018</v>
      </c>
      <c r="E218" s="17" t="s">
        <v>1087</v>
      </c>
      <c r="F218" s="17" t="s">
        <v>1088</v>
      </c>
      <c r="G218" s="17" t="s">
        <v>43</v>
      </c>
      <c r="H218" s="18" t="n">
        <v>1500</v>
      </c>
      <c r="I218" s="18" t="n">
        <v>0</v>
      </c>
      <c r="J218" s="17" t="s">
        <v>1081</v>
      </c>
      <c r="K218" s="17"/>
      <c r="L218" s="17" t="s">
        <v>53</v>
      </c>
      <c r="M218" s="17" t="s">
        <v>46</v>
      </c>
      <c r="N218" s="17"/>
    </row>
    <row r="219" customFormat="false" ht="39.55" hidden="false" customHeight="false" outlineLevel="0" collapsed="false">
      <c r="A219" s="16" t="n">
        <v>218</v>
      </c>
      <c r="B219" s="17" t="s">
        <v>1089</v>
      </c>
      <c r="C219" s="17" t="s">
        <v>147</v>
      </c>
      <c r="D219" s="17" t="s">
        <v>1090</v>
      </c>
      <c r="E219" s="17"/>
      <c r="F219" s="17" t="s">
        <v>1091</v>
      </c>
      <c r="G219" s="17" t="s">
        <v>43</v>
      </c>
      <c r="H219" s="18" t="n">
        <v>1800</v>
      </c>
      <c r="I219" s="18" t="n">
        <v>0</v>
      </c>
      <c r="J219" s="17" t="s">
        <v>1092</v>
      </c>
      <c r="K219" s="17"/>
      <c r="L219" s="17" t="s">
        <v>45</v>
      </c>
      <c r="M219" s="17" t="s">
        <v>46</v>
      </c>
      <c r="N219" s="17"/>
    </row>
    <row r="220" customFormat="false" ht="39.55" hidden="false" customHeight="false" outlineLevel="0" collapsed="false">
      <c r="A220" s="16" t="n">
        <v>219</v>
      </c>
      <c r="B220" s="17" t="s">
        <v>1093</v>
      </c>
      <c r="C220" s="17" t="s">
        <v>1057</v>
      </c>
      <c r="D220" s="17" t="s">
        <v>1094</v>
      </c>
      <c r="E220" s="17" t="s">
        <v>1095</v>
      </c>
      <c r="F220" s="17" t="s">
        <v>1096</v>
      </c>
      <c r="G220" s="17" t="s">
        <v>43</v>
      </c>
      <c r="H220" s="18" t="n">
        <v>1800</v>
      </c>
      <c r="I220" s="18" t="n">
        <v>0</v>
      </c>
      <c r="J220" s="17" t="s">
        <v>1092</v>
      </c>
      <c r="K220" s="17"/>
      <c r="L220" s="17" t="s">
        <v>45</v>
      </c>
      <c r="M220" s="17" t="s">
        <v>46</v>
      </c>
      <c r="N220" s="17"/>
    </row>
    <row r="221" customFormat="false" ht="64.9" hidden="false" customHeight="false" outlineLevel="0" collapsed="false">
      <c r="A221" s="16" t="n">
        <v>220</v>
      </c>
      <c r="B221" s="17" t="s">
        <v>1097</v>
      </c>
      <c r="C221" s="17" t="s">
        <v>224</v>
      </c>
      <c r="D221" s="17" t="s">
        <v>1098</v>
      </c>
      <c r="E221" s="17" t="s">
        <v>1099</v>
      </c>
      <c r="F221" s="17" t="s">
        <v>1100</v>
      </c>
      <c r="G221" s="17" t="s">
        <v>43</v>
      </c>
      <c r="H221" s="18" t="n">
        <v>1800</v>
      </c>
      <c r="I221" s="18" t="n">
        <v>0</v>
      </c>
      <c r="J221" s="17" t="s">
        <v>1101</v>
      </c>
      <c r="K221" s="17"/>
      <c r="L221" s="17" t="s">
        <v>45</v>
      </c>
      <c r="M221" s="17" t="s">
        <v>46</v>
      </c>
      <c r="N221" s="17"/>
    </row>
    <row r="222" customFormat="false" ht="39.55" hidden="false" customHeight="false" outlineLevel="0" collapsed="false">
      <c r="A222" s="16" t="n">
        <v>221</v>
      </c>
      <c r="B222" s="17" t="s">
        <v>1102</v>
      </c>
      <c r="C222" s="17" t="s">
        <v>433</v>
      </c>
      <c r="D222" s="17" t="s">
        <v>1103</v>
      </c>
      <c r="E222" s="17" t="s">
        <v>1104</v>
      </c>
      <c r="F222" s="17" t="s">
        <v>1105</v>
      </c>
      <c r="G222" s="17" t="s">
        <v>43</v>
      </c>
      <c r="H222" s="18" t="n">
        <v>1500</v>
      </c>
      <c r="I222" s="18" t="n">
        <v>0</v>
      </c>
      <c r="J222" s="17" t="s">
        <v>1106</v>
      </c>
      <c r="K222" s="17"/>
      <c r="L222" s="17" t="s">
        <v>53</v>
      </c>
      <c r="M222" s="17" t="s">
        <v>46</v>
      </c>
      <c r="N222" s="17"/>
    </row>
    <row r="223" customFormat="false" ht="26.85" hidden="false" customHeight="false" outlineLevel="0" collapsed="false">
      <c r="A223" s="16" t="n">
        <v>222</v>
      </c>
      <c r="B223" s="17" t="s">
        <v>1107</v>
      </c>
      <c r="C223" s="17" t="s">
        <v>200</v>
      </c>
      <c r="D223" s="17" t="s">
        <v>1108</v>
      </c>
      <c r="E223" s="17" t="s">
        <v>1109</v>
      </c>
      <c r="F223" s="17" t="s">
        <v>1110</v>
      </c>
      <c r="G223" s="17" t="s">
        <v>43</v>
      </c>
      <c r="H223" s="18" t="n">
        <v>1800</v>
      </c>
      <c r="I223" s="18" t="n">
        <v>0</v>
      </c>
      <c r="J223" s="17" t="s">
        <v>1111</v>
      </c>
      <c r="K223" s="17"/>
      <c r="L223" s="17" t="s">
        <v>45</v>
      </c>
      <c r="M223" s="17" t="s">
        <v>46</v>
      </c>
      <c r="N223" s="17"/>
    </row>
    <row r="224" customFormat="false" ht="39.55" hidden="false" customHeight="false" outlineLevel="0" collapsed="false">
      <c r="A224" s="16" t="n">
        <v>223</v>
      </c>
      <c r="B224" s="17" t="s">
        <v>1112</v>
      </c>
      <c r="C224" s="17" t="s">
        <v>775</v>
      </c>
      <c r="D224" s="17" t="s">
        <v>1113</v>
      </c>
      <c r="E224" s="17" t="s">
        <v>1114</v>
      </c>
      <c r="F224" s="17" t="s">
        <v>1115</v>
      </c>
      <c r="G224" s="17" t="s">
        <v>43</v>
      </c>
      <c r="H224" s="18" t="n">
        <v>1800</v>
      </c>
      <c r="I224" s="18" t="n">
        <v>0</v>
      </c>
      <c r="J224" s="17" t="s">
        <v>1116</v>
      </c>
      <c r="K224" s="17"/>
      <c r="L224" s="17" t="s">
        <v>45</v>
      </c>
      <c r="M224" s="17" t="s">
        <v>46</v>
      </c>
      <c r="N224" s="17"/>
    </row>
    <row r="225" customFormat="false" ht="39.55" hidden="false" customHeight="false" outlineLevel="0" collapsed="false">
      <c r="A225" s="16" t="n">
        <v>224</v>
      </c>
      <c r="B225" s="17" t="s">
        <v>1117</v>
      </c>
      <c r="C225" s="17" t="s">
        <v>489</v>
      </c>
      <c r="D225" s="17" t="s">
        <v>1118</v>
      </c>
      <c r="E225" s="17" t="s">
        <v>1119</v>
      </c>
      <c r="F225" s="17" t="s">
        <v>1120</v>
      </c>
      <c r="G225" s="17" t="s">
        <v>43</v>
      </c>
      <c r="H225" s="18" t="n">
        <v>1800</v>
      </c>
      <c r="I225" s="18" t="n">
        <v>0</v>
      </c>
      <c r="J225" s="17" t="s">
        <v>1121</v>
      </c>
      <c r="K225" s="17"/>
      <c r="L225" s="17" t="s">
        <v>45</v>
      </c>
      <c r="M225" s="17" t="s">
        <v>46</v>
      </c>
      <c r="N225" s="17"/>
    </row>
    <row r="226" customFormat="false" ht="39.55" hidden="false" customHeight="false" outlineLevel="0" collapsed="false">
      <c r="A226" s="16" t="n">
        <v>225</v>
      </c>
      <c r="B226" s="17" t="s">
        <v>1077</v>
      </c>
      <c r="C226" s="17" t="s">
        <v>580</v>
      </c>
      <c r="D226" s="17" t="s">
        <v>1122</v>
      </c>
      <c r="E226" s="17" t="s">
        <v>1079</v>
      </c>
      <c r="F226" s="17" t="s">
        <v>1123</v>
      </c>
      <c r="G226" s="17" t="s">
        <v>43</v>
      </c>
      <c r="H226" s="18" t="n">
        <v>1800</v>
      </c>
      <c r="I226" s="18" t="n">
        <v>0</v>
      </c>
      <c r="J226" s="17" t="s">
        <v>1124</v>
      </c>
      <c r="K226" s="17"/>
      <c r="L226" s="17" t="s">
        <v>45</v>
      </c>
      <c r="M226" s="17" t="s">
        <v>46</v>
      </c>
      <c r="N226" s="17"/>
    </row>
    <row r="227" customFormat="false" ht="39.55" hidden="false" customHeight="false" outlineLevel="0" collapsed="false">
      <c r="A227" s="16" t="n">
        <v>226</v>
      </c>
      <c r="B227" s="17" t="s">
        <v>1125</v>
      </c>
      <c r="C227" s="17" t="s">
        <v>601</v>
      </c>
      <c r="D227" s="17" t="s">
        <v>1126</v>
      </c>
      <c r="E227" s="17" t="s">
        <v>1127</v>
      </c>
      <c r="F227" s="17" t="s">
        <v>1128</v>
      </c>
      <c r="G227" s="17" t="s">
        <v>43</v>
      </c>
      <c r="H227" s="18" t="n">
        <v>1500</v>
      </c>
      <c r="I227" s="18" t="n">
        <v>0</v>
      </c>
      <c r="J227" s="17" t="s">
        <v>1129</v>
      </c>
      <c r="K227" s="17"/>
      <c r="L227" s="17" t="s">
        <v>53</v>
      </c>
      <c r="M227" s="17" t="s">
        <v>46</v>
      </c>
      <c r="N227" s="17"/>
    </row>
    <row r="228" customFormat="false" ht="26.85" hidden="false" customHeight="false" outlineLevel="0" collapsed="false">
      <c r="A228" s="16" t="n">
        <v>227</v>
      </c>
      <c r="B228" s="17" t="s">
        <v>1130</v>
      </c>
      <c r="C228" s="17" t="s">
        <v>224</v>
      </c>
      <c r="D228" s="17" t="s">
        <v>1131</v>
      </c>
      <c r="E228" s="17" t="s">
        <v>1132</v>
      </c>
      <c r="F228" s="17" t="s">
        <v>1133</v>
      </c>
      <c r="G228" s="17" t="s">
        <v>43</v>
      </c>
      <c r="H228" s="18" t="n">
        <v>1800</v>
      </c>
      <c r="I228" s="18" t="n">
        <v>0</v>
      </c>
      <c r="J228" s="17" t="s">
        <v>1134</v>
      </c>
      <c r="K228" s="17"/>
      <c r="L228" s="17" t="s">
        <v>45</v>
      </c>
      <c r="M228" s="17" t="s">
        <v>46</v>
      </c>
      <c r="N228" s="17"/>
    </row>
    <row r="229" customFormat="false" ht="26.85" hidden="false" customHeight="false" outlineLevel="0" collapsed="false">
      <c r="A229" s="16" t="n">
        <v>228</v>
      </c>
      <c r="B229" s="17" t="s">
        <v>1135</v>
      </c>
      <c r="C229" s="17" t="s">
        <v>61</v>
      </c>
      <c r="D229" s="17" t="s">
        <v>1136</v>
      </c>
      <c r="E229" s="17" t="s">
        <v>1137</v>
      </c>
      <c r="F229" s="17" t="s">
        <v>1138</v>
      </c>
      <c r="G229" s="17" t="s">
        <v>43</v>
      </c>
      <c r="H229" s="18" t="n">
        <v>1500</v>
      </c>
      <c r="I229" s="18" t="n">
        <v>0</v>
      </c>
      <c r="J229" s="17" t="s">
        <v>1139</v>
      </c>
      <c r="K229" s="17"/>
      <c r="L229" s="17" t="s">
        <v>53</v>
      </c>
      <c r="M229" s="17" t="s">
        <v>46</v>
      </c>
      <c r="N229" s="17"/>
    </row>
    <row r="230" customFormat="false" ht="26.85" hidden="false" customHeight="false" outlineLevel="0" collapsed="false">
      <c r="A230" s="16" t="n">
        <v>229</v>
      </c>
      <c r="B230" s="17" t="s">
        <v>1140</v>
      </c>
      <c r="C230" s="17" t="s">
        <v>402</v>
      </c>
      <c r="D230" s="17" t="s">
        <v>1141</v>
      </c>
      <c r="E230" s="17" t="s">
        <v>1142</v>
      </c>
      <c r="F230" s="17" t="s">
        <v>1143</v>
      </c>
      <c r="G230" s="17" t="s">
        <v>43</v>
      </c>
      <c r="H230" s="18" t="n">
        <v>1500</v>
      </c>
      <c r="I230" s="18" t="n">
        <v>0</v>
      </c>
      <c r="J230" s="17" t="s">
        <v>1139</v>
      </c>
      <c r="K230" s="17"/>
      <c r="L230" s="17" t="s">
        <v>53</v>
      </c>
      <c r="M230" s="17" t="s">
        <v>46</v>
      </c>
      <c r="N230" s="17"/>
    </row>
    <row r="231" customFormat="false" ht="26.85" hidden="false" customHeight="false" outlineLevel="0" collapsed="false">
      <c r="A231" s="16" t="n">
        <v>230</v>
      </c>
      <c r="B231" s="17" t="s">
        <v>1144</v>
      </c>
      <c r="C231" s="17" t="s">
        <v>191</v>
      </c>
      <c r="D231" s="17" t="s">
        <v>1145</v>
      </c>
      <c r="E231" s="17" t="s">
        <v>1146</v>
      </c>
      <c r="F231" s="17" t="s">
        <v>1147</v>
      </c>
      <c r="G231" s="17" t="s">
        <v>43</v>
      </c>
      <c r="H231" s="18" t="n">
        <v>1800</v>
      </c>
      <c r="I231" s="18" t="n">
        <v>0</v>
      </c>
      <c r="J231" s="17" t="s">
        <v>1148</v>
      </c>
      <c r="K231" s="17"/>
      <c r="L231" s="17" t="s">
        <v>45</v>
      </c>
      <c r="M231" s="17" t="s">
        <v>46</v>
      </c>
      <c r="N231" s="17"/>
    </row>
    <row r="232" customFormat="false" ht="26.85" hidden="false" customHeight="false" outlineLevel="0" collapsed="false">
      <c r="A232" s="16" t="n">
        <v>231</v>
      </c>
      <c r="B232" s="17" t="s">
        <v>1149</v>
      </c>
      <c r="C232" s="17" t="s">
        <v>601</v>
      </c>
      <c r="D232" s="17" t="s">
        <v>1150</v>
      </c>
      <c r="E232" s="17" t="s">
        <v>1151</v>
      </c>
      <c r="F232" s="17" t="s">
        <v>1152</v>
      </c>
      <c r="G232" s="17" t="s">
        <v>43</v>
      </c>
      <c r="H232" s="18" t="n">
        <v>1500</v>
      </c>
      <c r="I232" s="18" t="n">
        <v>0</v>
      </c>
      <c r="J232" s="17" t="s">
        <v>1148</v>
      </c>
      <c r="K232" s="17"/>
      <c r="L232" s="17" t="s">
        <v>53</v>
      </c>
      <c r="M232" s="17" t="s">
        <v>46</v>
      </c>
      <c r="N232" s="17"/>
    </row>
    <row r="233" customFormat="false" ht="26.85" hidden="false" customHeight="false" outlineLevel="0" collapsed="false">
      <c r="A233" s="16" t="n">
        <v>232</v>
      </c>
      <c r="B233" s="17" t="s">
        <v>1153</v>
      </c>
      <c r="C233" s="17" t="s">
        <v>433</v>
      </c>
      <c r="D233" s="17" t="s">
        <v>1154</v>
      </c>
      <c r="E233" s="17"/>
      <c r="F233" s="17" t="s">
        <v>1155</v>
      </c>
      <c r="G233" s="17" t="s">
        <v>43</v>
      </c>
      <c r="H233" s="18" t="n">
        <v>1500</v>
      </c>
      <c r="I233" s="18" t="n">
        <v>0</v>
      </c>
      <c r="J233" s="17" t="s">
        <v>1156</v>
      </c>
      <c r="K233" s="17"/>
      <c r="L233" s="17" t="s">
        <v>53</v>
      </c>
      <c r="M233" s="17" t="s">
        <v>46</v>
      </c>
      <c r="N233" s="17"/>
    </row>
    <row r="234" customFormat="false" ht="39.55" hidden="false" customHeight="false" outlineLevel="0" collapsed="false">
      <c r="A234" s="16" t="n">
        <v>233</v>
      </c>
      <c r="B234" s="17" t="s">
        <v>1157</v>
      </c>
      <c r="C234" s="17" t="s">
        <v>433</v>
      </c>
      <c r="D234" s="17" t="s">
        <v>1158</v>
      </c>
      <c r="E234" s="17" t="s">
        <v>1159</v>
      </c>
      <c r="F234" s="17" t="s">
        <v>1160</v>
      </c>
      <c r="G234" s="17" t="s">
        <v>43</v>
      </c>
      <c r="H234" s="18" t="n">
        <v>1500</v>
      </c>
      <c r="I234" s="18" t="n">
        <v>0</v>
      </c>
      <c r="J234" s="17" t="s">
        <v>1156</v>
      </c>
      <c r="K234" s="17"/>
      <c r="L234" s="17" t="s">
        <v>53</v>
      </c>
      <c r="M234" s="17" t="s">
        <v>46</v>
      </c>
      <c r="N234" s="17"/>
    </row>
    <row r="235" customFormat="false" ht="39.55" hidden="false" customHeight="false" outlineLevel="0" collapsed="false">
      <c r="A235" s="16" t="n">
        <v>234</v>
      </c>
      <c r="B235" s="17" t="s">
        <v>1161</v>
      </c>
      <c r="C235" s="17" t="s">
        <v>147</v>
      </c>
      <c r="D235" s="17" t="s">
        <v>1162</v>
      </c>
      <c r="E235" s="17" t="s">
        <v>1163</v>
      </c>
      <c r="F235" s="17" t="s">
        <v>1164</v>
      </c>
      <c r="G235" s="17" t="s">
        <v>43</v>
      </c>
      <c r="H235" s="18" t="n">
        <v>1800</v>
      </c>
      <c r="I235" s="18" t="n">
        <v>0</v>
      </c>
      <c r="J235" s="17" t="s">
        <v>1165</v>
      </c>
      <c r="K235" s="17"/>
      <c r="L235" s="17" t="s">
        <v>45</v>
      </c>
      <c r="M235" s="17" t="s">
        <v>46</v>
      </c>
      <c r="N235" s="17"/>
    </row>
    <row r="236" customFormat="false" ht="26.85" hidden="false" customHeight="false" outlineLevel="0" collapsed="false">
      <c r="A236" s="16" t="n">
        <v>235</v>
      </c>
      <c r="B236" s="17" t="s">
        <v>1166</v>
      </c>
      <c r="C236" s="17" t="s">
        <v>200</v>
      </c>
      <c r="D236" s="17" t="s">
        <v>1167</v>
      </c>
      <c r="E236" s="17" t="s">
        <v>1168</v>
      </c>
      <c r="F236" s="17" t="s">
        <v>1169</v>
      </c>
      <c r="G236" s="17" t="s">
        <v>43</v>
      </c>
      <c r="H236" s="18" t="n">
        <v>1800</v>
      </c>
      <c r="I236" s="18" t="n">
        <v>0</v>
      </c>
      <c r="J236" s="17" t="s">
        <v>1170</v>
      </c>
      <c r="K236" s="17"/>
      <c r="L236" s="17" t="s">
        <v>45</v>
      </c>
      <c r="M236" s="17" t="s">
        <v>46</v>
      </c>
      <c r="N236" s="17"/>
    </row>
    <row r="237" customFormat="false" ht="39.55" hidden="false" customHeight="false" outlineLevel="0" collapsed="false">
      <c r="A237" s="16" t="n">
        <v>236</v>
      </c>
      <c r="B237" s="17" t="s">
        <v>1171</v>
      </c>
      <c r="C237" s="17" t="s">
        <v>402</v>
      </c>
      <c r="D237" s="17" t="s">
        <v>1172</v>
      </c>
      <c r="E237" s="17" t="s">
        <v>1173</v>
      </c>
      <c r="F237" s="17" t="s">
        <v>1174</v>
      </c>
      <c r="G237" s="17" t="s">
        <v>43</v>
      </c>
      <c r="H237" s="18" t="n">
        <v>1500</v>
      </c>
      <c r="I237" s="18" t="n">
        <v>0</v>
      </c>
      <c r="J237" s="17" t="s">
        <v>1175</v>
      </c>
      <c r="K237" s="17"/>
      <c r="L237" s="17" t="s">
        <v>53</v>
      </c>
      <c r="M237" s="17" t="s">
        <v>46</v>
      </c>
      <c r="N237" s="17"/>
    </row>
    <row r="238" customFormat="false" ht="39.55" hidden="false" customHeight="false" outlineLevel="0" collapsed="false">
      <c r="A238" s="16" t="n">
        <v>237</v>
      </c>
      <c r="B238" s="17" t="s">
        <v>1176</v>
      </c>
      <c r="C238" s="17" t="s">
        <v>433</v>
      </c>
      <c r="D238" s="17" t="s">
        <v>1177</v>
      </c>
      <c r="E238" s="17" t="s">
        <v>1178</v>
      </c>
      <c r="F238" s="17" t="s">
        <v>1179</v>
      </c>
      <c r="G238" s="17" t="s">
        <v>43</v>
      </c>
      <c r="H238" s="18" t="n">
        <v>1500</v>
      </c>
      <c r="I238" s="18" t="n">
        <v>0</v>
      </c>
      <c r="J238" s="17" t="s">
        <v>1180</v>
      </c>
      <c r="K238" s="17"/>
      <c r="L238" s="17" t="s">
        <v>53</v>
      </c>
      <c r="M238" s="17" t="s">
        <v>46</v>
      </c>
      <c r="N238" s="17"/>
    </row>
    <row r="239" customFormat="false" ht="64.9" hidden="false" customHeight="false" outlineLevel="0" collapsed="false">
      <c r="A239" s="16" t="n">
        <v>238</v>
      </c>
      <c r="B239" s="17" t="s">
        <v>1181</v>
      </c>
      <c r="C239" s="17" t="s">
        <v>125</v>
      </c>
      <c r="D239" s="17" t="s">
        <v>1182</v>
      </c>
      <c r="E239" s="17" t="s">
        <v>1183</v>
      </c>
      <c r="F239" s="17" t="s">
        <v>1184</v>
      </c>
      <c r="G239" s="17" t="s">
        <v>43</v>
      </c>
      <c r="H239" s="18" t="n">
        <v>1800</v>
      </c>
      <c r="I239" s="18" t="n">
        <v>0</v>
      </c>
      <c r="J239" s="17" t="s">
        <v>1185</v>
      </c>
      <c r="K239" s="17"/>
      <c r="L239" s="17" t="s">
        <v>45</v>
      </c>
      <c r="M239" s="17" t="s">
        <v>46</v>
      </c>
      <c r="N239" s="17"/>
    </row>
    <row r="240" customFormat="false" ht="39.55" hidden="false" customHeight="false" outlineLevel="0" collapsed="false">
      <c r="A240" s="16" t="n">
        <v>239</v>
      </c>
      <c r="B240" s="17" t="s">
        <v>1186</v>
      </c>
      <c r="C240" s="17" t="s">
        <v>147</v>
      </c>
      <c r="D240" s="17" t="s">
        <v>1187</v>
      </c>
      <c r="E240" s="17" t="s">
        <v>1188</v>
      </c>
      <c r="F240" s="17" t="s">
        <v>1189</v>
      </c>
      <c r="G240" s="17" t="s">
        <v>43</v>
      </c>
      <c r="H240" s="18" t="n">
        <v>1800</v>
      </c>
      <c r="I240" s="18" t="n">
        <v>0</v>
      </c>
      <c r="J240" s="17" t="s">
        <v>1190</v>
      </c>
      <c r="K240" s="17"/>
      <c r="L240" s="17" t="s">
        <v>45</v>
      </c>
      <c r="M240" s="17" t="s">
        <v>46</v>
      </c>
      <c r="N240" s="17"/>
    </row>
    <row r="241" customFormat="false" ht="26.85" hidden="false" customHeight="false" outlineLevel="0" collapsed="false">
      <c r="A241" s="16" t="n">
        <v>240</v>
      </c>
      <c r="B241" s="17" t="s">
        <v>1191</v>
      </c>
      <c r="C241" s="17" t="s">
        <v>433</v>
      </c>
      <c r="D241" s="17" t="s">
        <v>1192</v>
      </c>
      <c r="E241" s="17" t="s">
        <v>1193</v>
      </c>
      <c r="F241" s="17" t="s">
        <v>1194</v>
      </c>
      <c r="G241" s="17" t="s">
        <v>43</v>
      </c>
      <c r="H241" s="18" t="n">
        <v>1500</v>
      </c>
      <c r="I241" s="18" t="n">
        <v>0</v>
      </c>
      <c r="J241" s="17" t="s">
        <v>1195</v>
      </c>
      <c r="K241" s="17"/>
      <c r="L241" s="17" t="s">
        <v>53</v>
      </c>
      <c r="M241" s="17" t="s">
        <v>46</v>
      </c>
      <c r="N241" s="17"/>
    </row>
    <row r="242" customFormat="false" ht="26.85" hidden="false" customHeight="false" outlineLevel="0" collapsed="false">
      <c r="A242" s="16" t="n">
        <v>241</v>
      </c>
      <c r="B242" s="17" t="s">
        <v>1196</v>
      </c>
      <c r="C242" s="17" t="s">
        <v>433</v>
      </c>
      <c r="D242" s="17" t="s">
        <v>1197</v>
      </c>
      <c r="E242" s="17" t="s">
        <v>1198</v>
      </c>
      <c r="F242" s="17" t="s">
        <v>1199</v>
      </c>
      <c r="G242" s="17" t="s">
        <v>43</v>
      </c>
      <c r="H242" s="18" t="n">
        <v>1500</v>
      </c>
      <c r="I242" s="18" t="n">
        <v>0</v>
      </c>
      <c r="J242" s="17" t="s">
        <v>1200</v>
      </c>
      <c r="K242" s="17"/>
      <c r="L242" s="17" t="s">
        <v>53</v>
      </c>
      <c r="M242" s="17" t="s">
        <v>46</v>
      </c>
      <c r="N242" s="17"/>
    </row>
    <row r="243" customFormat="false" ht="26.85" hidden="false" customHeight="false" outlineLevel="0" collapsed="false">
      <c r="A243" s="16" t="n">
        <v>242</v>
      </c>
      <c r="B243" s="17" t="s">
        <v>1201</v>
      </c>
      <c r="C243" s="17" t="s">
        <v>147</v>
      </c>
      <c r="D243" s="17" t="s">
        <v>1202</v>
      </c>
      <c r="E243" s="17" t="s">
        <v>1203</v>
      </c>
      <c r="F243" s="17" t="s">
        <v>1204</v>
      </c>
      <c r="G243" s="17" t="s">
        <v>43</v>
      </c>
      <c r="H243" s="18" t="n">
        <v>1800</v>
      </c>
      <c r="I243" s="18" t="n">
        <v>0</v>
      </c>
      <c r="J243" s="17" t="s">
        <v>1205</v>
      </c>
      <c r="K243" s="17"/>
      <c r="L243" s="17" t="s">
        <v>45</v>
      </c>
      <c r="M243" s="17" t="s">
        <v>46</v>
      </c>
      <c r="N243" s="17"/>
    </row>
    <row r="244" customFormat="false" ht="26.85" hidden="false" customHeight="false" outlineLevel="0" collapsed="false">
      <c r="A244" s="16" t="n">
        <v>243</v>
      </c>
      <c r="B244" s="17" t="s">
        <v>1206</v>
      </c>
      <c r="C244" s="17" t="s">
        <v>61</v>
      </c>
      <c r="D244" s="17" t="s">
        <v>1207</v>
      </c>
      <c r="E244" s="17" t="s">
        <v>1208</v>
      </c>
      <c r="F244" s="17" t="s">
        <v>1209</v>
      </c>
      <c r="G244" s="17" t="s">
        <v>43</v>
      </c>
      <c r="H244" s="18" t="n">
        <v>1500</v>
      </c>
      <c r="I244" s="18" t="n">
        <v>0</v>
      </c>
      <c r="J244" s="17" t="s">
        <v>1210</v>
      </c>
      <c r="K244" s="17"/>
      <c r="L244" s="17" t="s">
        <v>53</v>
      </c>
      <c r="M244" s="17" t="s">
        <v>46</v>
      </c>
      <c r="N244" s="17"/>
    </row>
    <row r="245" customFormat="false" ht="39.55" hidden="false" customHeight="false" outlineLevel="0" collapsed="false">
      <c r="A245" s="16" t="n">
        <v>244</v>
      </c>
      <c r="B245" s="17" t="s">
        <v>1211</v>
      </c>
      <c r="C245" s="17" t="s">
        <v>87</v>
      </c>
      <c r="D245" s="17" t="s">
        <v>1212</v>
      </c>
      <c r="E245" s="17" t="s">
        <v>1213</v>
      </c>
      <c r="F245" s="17" t="s">
        <v>1214</v>
      </c>
      <c r="G245" s="17" t="s">
        <v>43</v>
      </c>
      <c r="H245" s="18" t="n">
        <v>1500</v>
      </c>
      <c r="I245" s="18" t="n">
        <v>0</v>
      </c>
      <c r="J245" s="17" t="s">
        <v>1215</v>
      </c>
      <c r="K245" s="17"/>
      <c r="L245" s="17" t="s">
        <v>53</v>
      </c>
      <c r="M245" s="17" t="s">
        <v>46</v>
      </c>
      <c r="N245" s="17"/>
    </row>
    <row r="246" customFormat="false" ht="39.55" hidden="false" customHeight="false" outlineLevel="0" collapsed="false">
      <c r="A246" s="16" t="n">
        <v>245</v>
      </c>
      <c r="B246" s="17" t="s">
        <v>1216</v>
      </c>
      <c r="C246" s="17" t="s">
        <v>1057</v>
      </c>
      <c r="D246" s="17" t="s">
        <v>1217</v>
      </c>
      <c r="E246" s="17" t="s">
        <v>1218</v>
      </c>
      <c r="F246" s="17" t="s">
        <v>1219</v>
      </c>
      <c r="G246" s="17" t="s">
        <v>43</v>
      </c>
      <c r="H246" s="18" t="n">
        <v>1800</v>
      </c>
      <c r="I246" s="18" t="n">
        <v>0</v>
      </c>
      <c r="J246" s="17" t="s">
        <v>1220</v>
      </c>
      <c r="K246" s="17"/>
      <c r="L246" s="17" t="s">
        <v>45</v>
      </c>
      <c r="M246" s="17" t="s">
        <v>46</v>
      </c>
      <c r="N246" s="17"/>
    </row>
    <row r="247" customFormat="false" ht="26.85" hidden="false" customHeight="false" outlineLevel="0" collapsed="false">
      <c r="A247" s="16" t="n">
        <v>246</v>
      </c>
      <c r="B247" s="17" t="s">
        <v>1221</v>
      </c>
      <c r="C247" s="17" t="s">
        <v>48</v>
      </c>
      <c r="D247" s="17" t="s">
        <v>1222</v>
      </c>
      <c r="E247" s="17" t="s">
        <v>1223</v>
      </c>
      <c r="F247" s="17" t="s">
        <v>1224</v>
      </c>
      <c r="G247" s="17" t="s">
        <v>43</v>
      </c>
      <c r="H247" s="18" t="n">
        <v>1500</v>
      </c>
      <c r="I247" s="18" t="n">
        <v>0</v>
      </c>
      <c r="J247" s="17" t="s">
        <v>1225</v>
      </c>
      <c r="K247" s="17"/>
      <c r="L247" s="17" t="s">
        <v>53</v>
      </c>
      <c r="M247" s="17" t="s">
        <v>46</v>
      </c>
      <c r="N247" s="17"/>
    </row>
    <row r="248" customFormat="false" ht="26.85" hidden="false" customHeight="false" outlineLevel="0" collapsed="false">
      <c r="A248" s="16" t="n">
        <v>247</v>
      </c>
      <c r="B248" s="17" t="s">
        <v>1226</v>
      </c>
      <c r="C248" s="17" t="s">
        <v>263</v>
      </c>
      <c r="D248" s="17" t="s">
        <v>1227</v>
      </c>
      <c r="E248" s="17" t="s">
        <v>1228</v>
      </c>
      <c r="F248" s="17" t="s">
        <v>1229</v>
      </c>
      <c r="G248" s="17" t="s">
        <v>43</v>
      </c>
      <c r="H248" s="18" t="n">
        <v>1800</v>
      </c>
      <c r="I248" s="18" t="n">
        <v>0</v>
      </c>
      <c r="J248" s="17" t="s">
        <v>1230</v>
      </c>
      <c r="K248" s="17"/>
      <c r="L248" s="17" t="s">
        <v>45</v>
      </c>
      <c r="M248" s="17" t="s">
        <v>46</v>
      </c>
      <c r="N248" s="17"/>
    </row>
    <row r="249" customFormat="false" ht="64.9" hidden="false" customHeight="false" outlineLevel="0" collapsed="false">
      <c r="A249" s="16" t="n">
        <v>248</v>
      </c>
      <c r="B249" s="17" t="s">
        <v>1231</v>
      </c>
      <c r="C249" s="17" t="s">
        <v>125</v>
      </c>
      <c r="D249" s="17" t="s">
        <v>1232</v>
      </c>
      <c r="E249" s="17" t="s">
        <v>1233</v>
      </c>
      <c r="F249" s="17" t="s">
        <v>1234</v>
      </c>
      <c r="G249" s="17" t="s">
        <v>43</v>
      </c>
      <c r="H249" s="18" t="n">
        <v>1800</v>
      </c>
      <c r="I249" s="18" t="n">
        <v>0</v>
      </c>
      <c r="J249" s="17" t="s">
        <v>1235</v>
      </c>
      <c r="K249" s="17"/>
      <c r="L249" s="17" t="s">
        <v>45</v>
      </c>
      <c r="M249" s="17" t="s">
        <v>46</v>
      </c>
      <c r="N249" s="17"/>
    </row>
    <row r="250" customFormat="false" ht="39.55" hidden="false" customHeight="false" outlineLevel="0" collapsed="false">
      <c r="A250" s="16" t="n">
        <v>249</v>
      </c>
      <c r="B250" s="17" t="s">
        <v>1236</v>
      </c>
      <c r="C250" s="17" t="s">
        <v>200</v>
      </c>
      <c r="D250" s="17" t="s">
        <v>1237</v>
      </c>
      <c r="E250" s="17" t="s">
        <v>1238</v>
      </c>
      <c r="F250" s="17" t="s">
        <v>1239</v>
      </c>
      <c r="G250" s="17" t="s">
        <v>43</v>
      </c>
      <c r="H250" s="18" t="n">
        <v>1800</v>
      </c>
      <c r="I250" s="18" t="n">
        <v>0</v>
      </c>
      <c r="J250" s="17" t="s">
        <v>1240</v>
      </c>
      <c r="K250" s="17"/>
      <c r="L250" s="17" t="s">
        <v>45</v>
      </c>
      <c r="M250" s="17" t="s">
        <v>46</v>
      </c>
      <c r="N250" s="17"/>
    </row>
    <row r="251" customFormat="false" ht="39.55" hidden="false" customHeight="false" outlineLevel="0" collapsed="false">
      <c r="A251" s="16" t="n">
        <v>250</v>
      </c>
      <c r="B251" s="17" t="s">
        <v>1241</v>
      </c>
      <c r="C251" s="17" t="s">
        <v>125</v>
      </c>
      <c r="D251" s="17" t="s">
        <v>1242</v>
      </c>
      <c r="E251" s="17" t="s">
        <v>1243</v>
      </c>
      <c r="F251" s="17" t="s">
        <v>1244</v>
      </c>
      <c r="G251" s="17" t="s">
        <v>43</v>
      </c>
      <c r="H251" s="18" t="n">
        <v>1800</v>
      </c>
      <c r="I251" s="18" t="n">
        <v>0</v>
      </c>
      <c r="J251" s="17" t="s">
        <v>1245</v>
      </c>
      <c r="K251" s="17"/>
      <c r="L251" s="17" t="s">
        <v>45</v>
      </c>
      <c r="M251" s="17" t="s">
        <v>46</v>
      </c>
      <c r="N251" s="17"/>
    </row>
    <row r="252" customFormat="false" ht="39.55" hidden="false" customHeight="false" outlineLevel="0" collapsed="false">
      <c r="A252" s="16" t="n">
        <v>251</v>
      </c>
      <c r="B252" s="17" t="s">
        <v>1246</v>
      </c>
      <c r="C252" s="17" t="s">
        <v>489</v>
      </c>
      <c r="D252" s="17" t="s">
        <v>1247</v>
      </c>
      <c r="E252" s="17" t="s">
        <v>1248</v>
      </c>
      <c r="F252" s="17" t="s">
        <v>1249</v>
      </c>
      <c r="G252" s="17" t="s">
        <v>43</v>
      </c>
      <c r="H252" s="18" t="n">
        <v>1800</v>
      </c>
      <c r="I252" s="18" t="n">
        <v>0</v>
      </c>
      <c r="J252" s="17" t="s">
        <v>1245</v>
      </c>
      <c r="K252" s="17"/>
      <c r="L252" s="17" t="s">
        <v>45</v>
      </c>
      <c r="M252" s="17" t="s">
        <v>46</v>
      </c>
      <c r="N252" s="17"/>
    </row>
    <row r="253" customFormat="false" ht="39.55" hidden="false" customHeight="false" outlineLevel="0" collapsed="false">
      <c r="A253" s="16" t="n">
        <v>252</v>
      </c>
      <c r="B253" s="17" t="s">
        <v>1250</v>
      </c>
      <c r="C253" s="17" t="s">
        <v>601</v>
      </c>
      <c r="D253" s="17" t="s">
        <v>1251</v>
      </c>
      <c r="E253" s="17" t="s">
        <v>1252</v>
      </c>
      <c r="F253" s="17" t="s">
        <v>1253</v>
      </c>
      <c r="G253" s="17" t="s">
        <v>43</v>
      </c>
      <c r="H253" s="18" t="n">
        <v>1500</v>
      </c>
      <c r="I253" s="18" t="n">
        <v>0</v>
      </c>
      <c r="J253" s="17" t="s">
        <v>1254</v>
      </c>
      <c r="K253" s="17"/>
      <c r="L253" s="17" t="s">
        <v>53</v>
      </c>
      <c r="M253" s="17" t="s">
        <v>46</v>
      </c>
      <c r="N253" s="17"/>
    </row>
    <row r="254" customFormat="false" ht="39.55" hidden="false" customHeight="false" outlineLevel="0" collapsed="false">
      <c r="A254" s="16" t="n">
        <v>253</v>
      </c>
      <c r="B254" s="17" t="s">
        <v>1255</v>
      </c>
      <c r="C254" s="17" t="s">
        <v>601</v>
      </c>
      <c r="D254" s="17" t="s">
        <v>1256</v>
      </c>
      <c r="E254" s="17" t="s">
        <v>1257</v>
      </c>
      <c r="F254" s="17" t="s">
        <v>1258</v>
      </c>
      <c r="G254" s="17" t="s">
        <v>43</v>
      </c>
      <c r="H254" s="18" t="n">
        <v>1500</v>
      </c>
      <c r="I254" s="18" t="n">
        <v>0</v>
      </c>
      <c r="J254" s="17" t="s">
        <v>1259</v>
      </c>
      <c r="K254" s="17"/>
      <c r="L254" s="17" t="s">
        <v>53</v>
      </c>
      <c r="M254" s="17" t="s">
        <v>46</v>
      </c>
      <c r="N254" s="17"/>
    </row>
    <row r="255" customFormat="false" ht="102.95" hidden="false" customHeight="false" outlineLevel="0" collapsed="false">
      <c r="A255" s="16" t="n">
        <v>254</v>
      </c>
      <c r="B255" s="17" t="s">
        <v>1260</v>
      </c>
      <c r="C255" s="17" t="s">
        <v>93</v>
      </c>
      <c r="D255" s="17" t="s">
        <v>1261</v>
      </c>
      <c r="E255" s="17" t="s">
        <v>1262</v>
      </c>
      <c r="F255" s="17" t="s">
        <v>1263</v>
      </c>
      <c r="G255" s="17" t="s">
        <v>43</v>
      </c>
      <c r="H255" s="18" t="n">
        <v>1500</v>
      </c>
      <c r="I255" s="18" t="n">
        <v>0</v>
      </c>
      <c r="J255" s="17" t="s">
        <v>1264</v>
      </c>
      <c r="K255" s="17"/>
      <c r="L255" s="17" t="s">
        <v>53</v>
      </c>
      <c r="M255" s="17" t="s">
        <v>46</v>
      </c>
      <c r="N255" s="17"/>
    </row>
    <row r="256" customFormat="false" ht="26.85" hidden="false" customHeight="false" outlineLevel="0" collapsed="false">
      <c r="A256" s="16" t="n">
        <v>255</v>
      </c>
      <c r="B256" s="17" t="s">
        <v>1265</v>
      </c>
      <c r="C256" s="17" t="s">
        <v>93</v>
      </c>
      <c r="D256" s="17" t="s">
        <v>1266</v>
      </c>
      <c r="E256" s="17" t="s">
        <v>1267</v>
      </c>
      <c r="F256" s="17" t="s">
        <v>1268</v>
      </c>
      <c r="G256" s="17" t="s">
        <v>43</v>
      </c>
      <c r="H256" s="18" t="n">
        <v>1500</v>
      </c>
      <c r="I256" s="18" t="n">
        <v>0</v>
      </c>
      <c r="J256" s="17" t="s">
        <v>1269</v>
      </c>
      <c r="K256" s="17"/>
      <c r="L256" s="17" t="s">
        <v>53</v>
      </c>
      <c r="M256" s="17" t="s">
        <v>46</v>
      </c>
      <c r="N256" s="17"/>
    </row>
    <row r="257" customFormat="false" ht="26.85" hidden="false" customHeight="false" outlineLevel="0" collapsed="false">
      <c r="A257" s="16" t="n">
        <v>256</v>
      </c>
      <c r="B257" s="17" t="s">
        <v>1270</v>
      </c>
      <c r="C257" s="17" t="s">
        <v>81</v>
      </c>
      <c r="D257" s="17" t="s">
        <v>1271</v>
      </c>
      <c r="E257" s="17" t="s">
        <v>1272</v>
      </c>
      <c r="F257" s="17" t="s">
        <v>1273</v>
      </c>
      <c r="G257" s="17" t="s">
        <v>43</v>
      </c>
      <c r="H257" s="18" t="n">
        <v>1500</v>
      </c>
      <c r="I257" s="18" t="n">
        <v>0</v>
      </c>
      <c r="J257" s="17" t="s">
        <v>1274</v>
      </c>
      <c r="K257" s="17"/>
      <c r="L257" s="17" t="s">
        <v>53</v>
      </c>
      <c r="M257" s="17" t="s">
        <v>46</v>
      </c>
      <c r="N257" s="17"/>
    </row>
    <row r="258" customFormat="false" ht="39.55" hidden="false" customHeight="false" outlineLevel="0" collapsed="false">
      <c r="A258" s="16" t="n">
        <v>257</v>
      </c>
      <c r="B258" s="17" t="s">
        <v>1275</v>
      </c>
      <c r="C258" s="17" t="s">
        <v>61</v>
      </c>
      <c r="D258" s="17" t="s">
        <v>1276</v>
      </c>
      <c r="E258" s="17" t="s">
        <v>1277</v>
      </c>
      <c r="F258" s="17" t="s">
        <v>1278</v>
      </c>
      <c r="G258" s="17" t="s">
        <v>43</v>
      </c>
      <c r="H258" s="18" t="n">
        <v>1500</v>
      </c>
      <c r="I258" s="18" t="n">
        <v>0</v>
      </c>
      <c r="J258" s="17" t="s">
        <v>1279</v>
      </c>
      <c r="K258" s="17"/>
      <c r="L258" s="17" t="s">
        <v>53</v>
      </c>
      <c r="M258" s="17" t="s">
        <v>46</v>
      </c>
      <c r="N258" s="17"/>
    </row>
    <row r="259" customFormat="false" ht="39.55" hidden="false" customHeight="false" outlineLevel="0" collapsed="false">
      <c r="A259" s="16" t="n">
        <v>258</v>
      </c>
      <c r="B259" s="17" t="s">
        <v>1280</v>
      </c>
      <c r="C259" s="17" t="s">
        <v>48</v>
      </c>
      <c r="D259" s="17" t="s">
        <v>1281</v>
      </c>
      <c r="E259" s="17" t="s">
        <v>1282</v>
      </c>
      <c r="F259" s="17" t="s">
        <v>1283</v>
      </c>
      <c r="G259" s="17" t="s">
        <v>43</v>
      </c>
      <c r="H259" s="18" t="n">
        <v>1500</v>
      </c>
      <c r="I259" s="18" t="n">
        <v>0</v>
      </c>
      <c r="J259" s="17" t="s">
        <v>1284</v>
      </c>
      <c r="K259" s="17"/>
      <c r="L259" s="17" t="s">
        <v>53</v>
      </c>
      <c r="M259" s="17" t="s">
        <v>46</v>
      </c>
      <c r="N259" s="17"/>
    </row>
    <row r="260" customFormat="false" ht="26.85" hidden="false" customHeight="false" outlineLevel="0" collapsed="false">
      <c r="A260" s="16" t="n">
        <v>259</v>
      </c>
      <c r="B260" s="17" t="s">
        <v>1285</v>
      </c>
      <c r="C260" s="17" t="s">
        <v>48</v>
      </c>
      <c r="D260" s="17" t="s">
        <v>1286</v>
      </c>
      <c r="E260" s="17" t="s">
        <v>1287</v>
      </c>
      <c r="F260" s="17" t="s">
        <v>1288</v>
      </c>
      <c r="G260" s="17" t="s">
        <v>43</v>
      </c>
      <c r="H260" s="18" t="n">
        <v>1500</v>
      </c>
      <c r="I260" s="18" t="n">
        <v>0</v>
      </c>
      <c r="J260" s="17" t="s">
        <v>1289</v>
      </c>
      <c r="K260" s="17"/>
      <c r="L260" s="17" t="s">
        <v>53</v>
      </c>
      <c r="M260" s="17" t="s">
        <v>46</v>
      </c>
      <c r="N260" s="17"/>
    </row>
    <row r="261" customFormat="false" ht="39.55" hidden="false" customHeight="false" outlineLevel="0" collapsed="false">
      <c r="A261" s="16" t="n">
        <v>260</v>
      </c>
      <c r="B261" s="17" t="s">
        <v>1290</v>
      </c>
      <c r="C261" s="17" t="s">
        <v>561</v>
      </c>
      <c r="D261" s="17" t="s">
        <v>1291</v>
      </c>
      <c r="E261" s="17" t="s">
        <v>1292</v>
      </c>
      <c r="F261" s="17" t="s">
        <v>1293</v>
      </c>
      <c r="G261" s="17" t="s">
        <v>43</v>
      </c>
      <c r="H261" s="18" t="n">
        <v>1800</v>
      </c>
      <c r="I261" s="18" t="n">
        <v>0</v>
      </c>
      <c r="J261" s="17" t="s">
        <v>1294</v>
      </c>
      <c r="K261" s="17"/>
      <c r="L261" s="17" t="s">
        <v>45</v>
      </c>
      <c r="M261" s="17" t="s">
        <v>46</v>
      </c>
      <c r="N261" s="17"/>
    </row>
    <row r="262" customFormat="false" ht="39.55" hidden="false" customHeight="false" outlineLevel="0" collapsed="false">
      <c r="A262" s="16" t="n">
        <v>261</v>
      </c>
      <c r="B262" s="17" t="s">
        <v>1295</v>
      </c>
      <c r="C262" s="17" t="s">
        <v>580</v>
      </c>
      <c r="D262" s="17" t="s">
        <v>1296</v>
      </c>
      <c r="E262" s="17" t="s">
        <v>1297</v>
      </c>
      <c r="F262" s="17" t="s">
        <v>1298</v>
      </c>
      <c r="G262" s="17" t="s">
        <v>43</v>
      </c>
      <c r="H262" s="18" t="n">
        <v>1800</v>
      </c>
      <c r="I262" s="18" t="n">
        <v>0</v>
      </c>
      <c r="J262" s="17" t="s">
        <v>1299</v>
      </c>
      <c r="K262" s="17"/>
      <c r="L262" s="17" t="s">
        <v>45</v>
      </c>
      <c r="M262" s="17" t="s">
        <v>46</v>
      </c>
      <c r="N262" s="17"/>
    </row>
    <row r="263" customFormat="false" ht="64.9" hidden="false" customHeight="false" outlineLevel="0" collapsed="false">
      <c r="A263" s="16" t="n">
        <v>262</v>
      </c>
      <c r="B263" s="17" t="s">
        <v>1300</v>
      </c>
      <c r="C263" s="17" t="s">
        <v>580</v>
      </c>
      <c r="D263" s="17" t="s">
        <v>1301</v>
      </c>
      <c r="E263" s="17" t="s">
        <v>1302</v>
      </c>
      <c r="F263" s="17" t="s">
        <v>1303</v>
      </c>
      <c r="G263" s="17" t="s">
        <v>43</v>
      </c>
      <c r="H263" s="18" t="n">
        <v>1800</v>
      </c>
      <c r="I263" s="18" t="n">
        <v>0</v>
      </c>
      <c r="J263" s="17" t="s">
        <v>1304</v>
      </c>
      <c r="K263" s="17"/>
      <c r="L263" s="17" t="s">
        <v>45</v>
      </c>
      <c r="M263" s="17" t="s">
        <v>46</v>
      </c>
      <c r="N263" s="17"/>
    </row>
    <row r="264" customFormat="false" ht="90.25" hidden="false" customHeight="false" outlineLevel="0" collapsed="false">
      <c r="A264" s="16" t="n">
        <v>263</v>
      </c>
      <c r="B264" s="17" t="s">
        <v>1305</v>
      </c>
      <c r="C264" s="17" t="s">
        <v>580</v>
      </c>
      <c r="D264" s="17" t="s">
        <v>1306</v>
      </c>
      <c r="E264" s="17" t="s">
        <v>1307</v>
      </c>
      <c r="F264" s="17" t="s">
        <v>1308</v>
      </c>
      <c r="G264" s="17" t="s">
        <v>43</v>
      </c>
      <c r="H264" s="18" t="n">
        <v>1800</v>
      </c>
      <c r="I264" s="18" t="n">
        <v>0</v>
      </c>
      <c r="J264" s="17" t="s">
        <v>1309</v>
      </c>
      <c r="K264" s="17"/>
      <c r="L264" s="17" t="s">
        <v>45</v>
      </c>
      <c r="M264" s="17" t="s">
        <v>46</v>
      </c>
      <c r="N264" s="17"/>
    </row>
    <row r="265" customFormat="false" ht="39.55" hidden="false" customHeight="false" outlineLevel="0" collapsed="false">
      <c r="A265" s="16" t="n">
        <v>264</v>
      </c>
      <c r="B265" s="17" t="s">
        <v>1310</v>
      </c>
      <c r="C265" s="17" t="s">
        <v>109</v>
      </c>
      <c r="D265" s="17" t="s">
        <v>1311</v>
      </c>
      <c r="E265" s="17" t="s">
        <v>1312</v>
      </c>
      <c r="F265" s="17" t="s">
        <v>1313</v>
      </c>
      <c r="G265" s="17" t="s">
        <v>43</v>
      </c>
      <c r="H265" s="18" t="n">
        <v>1800</v>
      </c>
      <c r="I265" s="18" t="n">
        <v>0</v>
      </c>
      <c r="J265" s="17" t="s">
        <v>1314</v>
      </c>
      <c r="K265" s="17"/>
      <c r="L265" s="17" t="s">
        <v>45</v>
      </c>
      <c r="M265" s="17" t="s">
        <v>46</v>
      </c>
      <c r="N265" s="17"/>
    </row>
    <row r="266" customFormat="false" ht="39.55" hidden="false" customHeight="false" outlineLevel="0" collapsed="false">
      <c r="A266" s="16" t="n">
        <v>265</v>
      </c>
      <c r="B266" s="17" t="s">
        <v>1315</v>
      </c>
      <c r="C266" s="17" t="s">
        <v>191</v>
      </c>
      <c r="D266" s="17" t="s">
        <v>1316</v>
      </c>
      <c r="E266" s="17" t="s">
        <v>1317</v>
      </c>
      <c r="F266" s="17" t="s">
        <v>1318</v>
      </c>
      <c r="G266" s="17" t="s">
        <v>43</v>
      </c>
      <c r="H266" s="18" t="n">
        <v>1800</v>
      </c>
      <c r="I266" s="18" t="n">
        <v>0</v>
      </c>
      <c r="J266" s="17" t="s">
        <v>1319</v>
      </c>
      <c r="K266" s="17"/>
      <c r="L266" s="17" t="s">
        <v>45</v>
      </c>
      <c r="M266" s="17" t="s">
        <v>46</v>
      </c>
      <c r="N266" s="17"/>
    </row>
    <row r="267" customFormat="false" ht="26.85" hidden="false" customHeight="false" outlineLevel="0" collapsed="false">
      <c r="A267" s="16" t="n">
        <v>266</v>
      </c>
      <c r="B267" s="17" t="s">
        <v>1320</v>
      </c>
      <c r="C267" s="17" t="s">
        <v>263</v>
      </c>
      <c r="D267" s="17" t="s">
        <v>408</v>
      </c>
      <c r="E267" s="17" t="s">
        <v>1321</v>
      </c>
      <c r="F267" s="17" t="s">
        <v>1322</v>
      </c>
      <c r="G267" s="17" t="s">
        <v>43</v>
      </c>
      <c r="H267" s="18" t="n">
        <v>1800</v>
      </c>
      <c r="I267" s="18" t="n">
        <v>0</v>
      </c>
      <c r="J267" s="17" t="s">
        <v>1323</v>
      </c>
      <c r="K267" s="17"/>
      <c r="L267" s="17" t="s">
        <v>45</v>
      </c>
      <c r="M267" s="17" t="s">
        <v>46</v>
      </c>
      <c r="N267" s="17"/>
    </row>
    <row r="268" customFormat="false" ht="26.85" hidden="false" customHeight="false" outlineLevel="0" collapsed="false">
      <c r="A268" s="16" t="n">
        <v>267</v>
      </c>
      <c r="B268" s="17" t="s">
        <v>1324</v>
      </c>
      <c r="C268" s="17" t="s">
        <v>39</v>
      </c>
      <c r="D268" s="17" t="s">
        <v>1325</v>
      </c>
      <c r="E268" s="17" t="s">
        <v>1326</v>
      </c>
      <c r="F268" s="17" t="s">
        <v>1327</v>
      </c>
      <c r="G268" s="17" t="s">
        <v>43</v>
      </c>
      <c r="H268" s="18" t="n">
        <v>1800</v>
      </c>
      <c r="I268" s="18" t="n">
        <v>0</v>
      </c>
      <c r="J268" s="17" t="s">
        <v>1328</v>
      </c>
      <c r="K268" s="17"/>
      <c r="L268" s="17" t="s">
        <v>45</v>
      </c>
      <c r="M268" s="17" t="s">
        <v>46</v>
      </c>
      <c r="N268" s="17"/>
    </row>
    <row r="269" customFormat="false" ht="39.55" hidden="false" customHeight="false" outlineLevel="0" collapsed="false">
      <c r="A269" s="16" t="n">
        <v>268</v>
      </c>
      <c r="B269" s="17" t="s">
        <v>1329</v>
      </c>
      <c r="C269" s="17" t="s">
        <v>39</v>
      </c>
      <c r="D269" s="17" t="s">
        <v>1232</v>
      </c>
      <c r="E269" s="17" t="s">
        <v>1330</v>
      </c>
      <c r="F269" s="17" t="s">
        <v>1331</v>
      </c>
      <c r="G269" s="17" t="s">
        <v>43</v>
      </c>
      <c r="H269" s="18" t="n">
        <v>1800</v>
      </c>
      <c r="I269" s="18" t="n">
        <v>0</v>
      </c>
      <c r="J269" s="17" t="s">
        <v>1332</v>
      </c>
      <c r="K269" s="17"/>
      <c r="L269" s="17" t="s">
        <v>45</v>
      </c>
      <c r="M269" s="17" t="s">
        <v>46</v>
      </c>
      <c r="N269" s="17"/>
    </row>
    <row r="270" customFormat="false" ht="52.2" hidden="false" customHeight="false" outlineLevel="0" collapsed="false">
      <c r="A270" s="16" t="n">
        <v>269</v>
      </c>
      <c r="B270" s="17" t="s">
        <v>1333</v>
      </c>
      <c r="C270" s="17" t="s">
        <v>489</v>
      </c>
      <c r="D270" s="17" t="s">
        <v>1334</v>
      </c>
      <c r="E270" s="17" t="s">
        <v>1335</v>
      </c>
      <c r="F270" s="17" t="s">
        <v>1336</v>
      </c>
      <c r="G270" s="17" t="s">
        <v>43</v>
      </c>
      <c r="H270" s="18" t="n">
        <v>1800</v>
      </c>
      <c r="I270" s="18" t="n">
        <v>0</v>
      </c>
      <c r="J270" s="17" t="s">
        <v>1337</v>
      </c>
      <c r="K270" s="17"/>
      <c r="L270" s="17" t="s">
        <v>45</v>
      </c>
      <c r="M270" s="17" t="s">
        <v>46</v>
      </c>
      <c r="N270" s="17"/>
    </row>
    <row r="271" customFormat="false" ht="26.85" hidden="false" customHeight="false" outlineLevel="0" collapsed="false">
      <c r="A271" s="16" t="n">
        <v>270</v>
      </c>
      <c r="B271" s="17" t="s">
        <v>1338</v>
      </c>
      <c r="C271" s="17" t="s">
        <v>278</v>
      </c>
      <c r="D271" s="17" t="s">
        <v>1339</v>
      </c>
      <c r="E271" s="17" t="s">
        <v>1340</v>
      </c>
      <c r="F271" s="17" t="s">
        <v>1341</v>
      </c>
      <c r="G271" s="17" t="s">
        <v>43</v>
      </c>
      <c r="H271" s="18" t="n">
        <v>1800</v>
      </c>
      <c r="I271" s="18" t="n">
        <v>0</v>
      </c>
      <c r="J271" s="17" t="s">
        <v>1342</v>
      </c>
      <c r="K271" s="17"/>
      <c r="L271" s="17" t="s">
        <v>45</v>
      </c>
      <c r="M271" s="17" t="s">
        <v>46</v>
      </c>
      <c r="N271" s="17"/>
    </row>
    <row r="272" customFormat="false" ht="26.85" hidden="false" customHeight="false" outlineLevel="0" collapsed="false">
      <c r="A272" s="16" t="n">
        <v>271</v>
      </c>
      <c r="B272" s="17" t="s">
        <v>1343</v>
      </c>
      <c r="C272" s="17" t="s">
        <v>263</v>
      </c>
      <c r="D272" s="17" t="s">
        <v>1344</v>
      </c>
      <c r="E272" s="17" t="s">
        <v>1345</v>
      </c>
      <c r="F272" s="17" t="s">
        <v>1346</v>
      </c>
      <c r="G272" s="17" t="s">
        <v>43</v>
      </c>
      <c r="H272" s="18" t="n">
        <v>1800</v>
      </c>
      <c r="I272" s="18" t="n">
        <v>0</v>
      </c>
      <c r="J272" s="17" t="s">
        <v>1347</v>
      </c>
      <c r="K272" s="17"/>
      <c r="L272" s="17" t="s">
        <v>45</v>
      </c>
      <c r="M272" s="17" t="s">
        <v>46</v>
      </c>
      <c r="N272" s="17"/>
    </row>
    <row r="273" customFormat="false" ht="26.85" hidden="false" customHeight="false" outlineLevel="0" collapsed="false">
      <c r="A273" s="16" t="n">
        <v>272</v>
      </c>
      <c r="B273" s="17" t="s">
        <v>1348</v>
      </c>
      <c r="C273" s="17" t="s">
        <v>55</v>
      </c>
      <c r="D273" s="17" t="s">
        <v>1349</v>
      </c>
      <c r="E273" s="17" t="s">
        <v>1350</v>
      </c>
      <c r="F273" s="17" t="s">
        <v>897</v>
      </c>
      <c r="G273" s="17" t="s">
        <v>43</v>
      </c>
      <c r="H273" s="18" t="n">
        <v>1500</v>
      </c>
      <c r="I273" s="18" t="n">
        <v>0</v>
      </c>
      <c r="J273" s="17" t="s">
        <v>1351</v>
      </c>
      <c r="K273" s="17"/>
      <c r="L273" s="17" t="s">
        <v>53</v>
      </c>
      <c r="M273" s="17" t="s">
        <v>46</v>
      </c>
      <c r="N273" s="17"/>
    </row>
    <row r="274" customFormat="false" ht="39.55" hidden="false" customHeight="false" outlineLevel="0" collapsed="false">
      <c r="A274" s="16" t="n">
        <v>273</v>
      </c>
      <c r="B274" s="17" t="s">
        <v>1352</v>
      </c>
      <c r="C274" s="17" t="s">
        <v>278</v>
      </c>
      <c r="D274" s="17" t="s">
        <v>1353</v>
      </c>
      <c r="E274" s="17" t="s">
        <v>1354</v>
      </c>
      <c r="F274" s="17" t="s">
        <v>1355</v>
      </c>
      <c r="G274" s="17" t="s">
        <v>43</v>
      </c>
      <c r="H274" s="18" t="n">
        <v>1800</v>
      </c>
      <c r="I274" s="18" t="n">
        <v>0</v>
      </c>
      <c r="J274" s="17" t="s">
        <v>1356</v>
      </c>
      <c r="K274" s="17"/>
      <c r="L274" s="17" t="s">
        <v>45</v>
      </c>
      <c r="M274" s="17" t="s">
        <v>46</v>
      </c>
      <c r="N274" s="17"/>
    </row>
    <row r="275" customFormat="false" ht="64.9" hidden="false" customHeight="false" outlineLevel="0" collapsed="false">
      <c r="A275" s="16" t="n">
        <v>274</v>
      </c>
      <c r="B275" s="17" t="s">
        <v>1357</v>
      </c>
      <c r="C275" s="17" t="s">
        <v>147</v>
      </c>
      <c r="D275" s="17" t="s">
        <v>1358</v>
      </c>
      <c r="E275" s="17" t="s">
        <v>1359</v>
      </c>
      <c r="F275" s="17" t="s">
        <v>1360</v>
      </c>
      <c r="G275" s="17" t="s">
        <v>43</v>
      </c>
      <c r="H275" s="18" t="n">
        <v>1800</v>
      </c>
      <c r="I275" s="18" t="n">
        <v>0</v>
      </c>
      <c r="J275" s="17" t="s">
        <v>1361</v>
      </c>
      <c r="K275" s="17"/>
      <c r="L275" s="17" t="s">
        <v>45</v>
      </c>
      <c r="M275" s="17" t="s">
        <v>46</v>
      </c>
      <c r="N275" s="17"/>
    </row>
    <row r="276" customFormat="false" ht="26.85" hidden="false" customHeight="false" outlineLevel="0" collapsed="false">
      <c r="A276" s="16" t="n">
        <v>275</v>
      </c>
      <c r="B276" s="17" t="s">
        <v>1362</v>
      </c>
      <c r="C276" s="17" t="s">
        <v>263</v>
      </c>
      <c r="D276" s="17" t="s">
        <v>1363</v>
      </c>
      <c r="E276" s="17" t="s">
        <v>1364</v>
      </c>
      <c r="F276" s="17" t="s">
        <v>1365</v>
      </c>
      <c r="G276" s="17" t="s">
        <v>43</v>
      </c>
      <c r="H276" s="18" t="n">
        <v>1800</v>
      </c>
      <c r="I276" s="18" t="n">
        <v>0</v>
      </c>
      <c r="J276" s="17" t="s">
        <v>1366</v>
      </c>
      <c r="K276" s="17"/>
      <c r="L276" s="17" t="s">
        <v>45</v>
      </c>
      <c r="M276" s="17" t="s">
        <v>46</v>
      </c>
      <c r="N276" s="17"/>
    </row>
    <row r="277" customFormat="false" ht="77.6" hidden="false" customHeight="false" outlineLevel="0" collapsed="false">
      <c r="A277" s="16" t="n">
        <v>276</v>
      </c>
      <c r="B277" s="17" t="s">
        <v>1367</v>
      </c>
      <c r="C277" s="17" t="s">
        <v>39</v>
      </c>
      <c r="D277" s="17" t="s">
        <v>1368</v>
      </c>
      <c r="E277" s="17" t="s">
        <v>1369</v>
      </c>
      <c r="F277" s="17" t="s">
        <v>1370</v>
      </c>
      <c r="G277" s="17" t="s">
        <v>43</v>
      </c>
      <c r="H277" s="18" t="n">
        <v>1800</v>
      </c>
      <c r="I277" s="18" t="n">
        <v>0</v>
      </c>
      <c r="J277" s="17" t="s">
        <v>1371</v>
      </c>
      <c r="K277" s="17"/>
      <c r="L277" s="17" t="s">
        <v>45</v>
      </c>
      <c r="M277" s="17" t="s">
        <v>46</v>
      </c>
      <c r="N277" s="17"/>
    </row>
    <row r="278" customFormat="false" ht="26.85" hidden="false" customHeight="false" outlineLevel="0" collapsed="false">
      <c r="A278" s="16" t="n">
        <v>277</v>
      </c>
      <c r="B278" s="17" t="s">
        <v>1372</v>
      </c>
      <c r="C278" s="17" t="s">
        <v>109</v>
      </c>
      <c r="D278" s="17" t="s">
        <v>1373</v>
      </c>
      <c r="E278" s="17" t="s">
        <v>1374</v>
      </c>
      <c r="F278" s="17" t="s">
        <v>1375</v>
      </c>
      <c r="G278" s="17" t="s">
        <v>43</v>
      </c>
      <c r="H278" s="18" t="n">
        <v>1800</v>
      </c>
      <c r="I278" s="18" t="n">
        <v>0</v>
      </c>
      <c r="J278" s="17" t="s">
        <v>1376</v>
      </c>
      <c r="K278" s="17"/>
      <c r="L278" s="17" t="s">
        <v>45</v>
      </c>
      <c r="M278" s="17" t="s">
        <v>46</v>
      </c>
      <c r="N278" s="17"/>
    </row>
    <row r="279" customFormat="false" ht="26.85" hidden="false" customHeight="false" outlineLevel="0" collapsed="false">
      <c r="A279" s="16" t="n">
        <v>278</v>
      </c>
      <c r="B279" s="17" t="s">
        <v>1377</v>
      </c>
      <c r="C279" s="17" t="s">
        <v>48</v>
      </c>
      <c r="D279" s="17" t="s">
        <v>1378</v>
      </c>
      <c r="E279" s="17" t="s">
        <v>1379</v>
      </c>
      <c r="F279" s="17" t="s">
        <v>1380</v>
      </c>
      <c r="G279" s="17" t="s">
        <v>43</v>
      </c>
      <c r="H279" s="18" t="n">
        <v>1500</v>
      </c>
      <c r="I279" s="18" t="n">
        <v>0</v>
      </c>
      <c r="J279" s="17" t="s">
        <v>1381</v>
      </c>
      <c r="K279" s="17"/>
      <c r="L279" s="17" t="s">
        <v>53</v>
      </c>
      <c r="M279" s="17" t="s">
        <v>46</v>
      </c>
      <c r="N279" s="17"/>
    </row>
    <row r="280" customFormat="false" ht="77.6" hidden="false" customHeight="false" outlineLevel="0" collapsed="false">
      <c r="A280" s="16" t="n">
        <v>279</v>
      </c>
      <c r="B280" s="17" t="s">
        <v>1382</v>
      </c>
      <c r="C280" s="17" t="s">
        <v>580</v>
      </c>
      <c r="D280" s="17" t="s">
        <v>1383</v>
      </c>
      <c r="E280" s="17" t="s">
        <v>1384</v>
      </c>
      <c r="F280" s="17" t="s">
        <v>1385</v>
      </c>
      <c r="G280" s="17" t="s">
        <v>43</v>
      </c>
      <c r="H280" s="18" t="n">
        <v>1800</v>
      </c>
      <c r="I280" s="18" t="n">
        <v>0</v>
      </c>
      <c r="J280" s="17" t="s">
        <v>1386</v>
      </c>
      <c r="K280" s="17"/>
      <c r="L280" s="17" t="s">
        <v>45</v>
      </c>
      <c r="M280" s="17" t="s">
        <v>46</v>
      </c>
      <c r="N280" s="17"/>
    </row>
    <row r="281" customFormat="false" ht="26.85" hidden="false" customHeight="false" outlineLevel="0" collapsed="false">
      <c r="A281" s="16" t="n">
        <v>280</v>
      </c>
      <c r="B281" s="17" t="s">
        <v>1387</v>
      </c>
      <c r="C281" s="17" t="s">
        <v>191</v>
      </c>
      <c r="D281" s="17" t="s">
        <v>1388</v>
      </c>
      <c r="E281" s="17" t="s">
        <v>1389</v>
      </c>
      <c r="F281" s="17" t="s">
        <v>1390</v>
      </c>
      <c r="G281" s="17" t="s">
        <v>43</v>
      </c>
      <c r="H281" s="18" t="n">
        <v>1800</v>
      </c>
      <c r="I281" s="18" t="n">
        <v>0</v>
      </c>
      <c r="J281" s="17" t="s">
        <v>1391</v>
      </c>
      <c r="K281" s="17"/>
      <c r="L281" s="17" t="s">
        <v>45</v>
      </c>
      <c r="M281" s="17" t="s">
        <v>46</v>
      </c>
      <c r="N281" s="17"/>
    </row>
    <row r="282" customFormat="false" ht="39.55" hidden="false" customHeight="false" outlineLevel="0" collapsed="false">
      <c r="A282" s="16" t="n">
        <v>281</v>
      </c>
      <c r="B282" s="17" t="s">
        <v>1392</v>
      </c>
      <c r="C282" s="17" t="s">
        <v>263</v>
      </c>
      <c r="D282" s="17" t="s">
        <v>1393</v>
      </c>
      <c r="E282" s="17" t="s">
        <v>1394</v>
      </c>
      <c r="F282" s="17" t="s">
        <v>1395</v>
      </c>
      <c r="G282" s="17" t="s">
        <v>43</v>
      </c>
      <c r="H282" s="18" t="n">
        <v>1800</v>
      </c>
      <c r="I282" s="18" t="n">
        <v>0</v>
      </c>
      <c r="J282" s="17" t="s">
        <v>1396</v>
      </c>
      <c r="K282" s="17"/>
      <c r="L282" s="17" t="s">
        <v>45</v>
      </c>
      <c r="M282" s="17" t="s">
        <v>46</v>
      </c>
      <c r="N282" s="17"/>
    </row>
    <row r="283" customFormat="false" ht="26.85" hidden="false" customHeight="false" outlineLevel="0" collapsed="false">
      <c r="A283" s="16" t="n">
        <v>282</v>
      </c>
      <c r="B283" s="17" t="s">
        <v>1397</v>
      </c>
      <c r="C283" s="17" t="s">
        <v>278</v>
      </c>
      <c r="D283" s="17" t="s">
        <v>1398</v>
      </c>
      <c r="E283" s="17" t="s">
        <v>1399</v>
      </c>
      <c r="F283" s="17" t="s">
        <v>1400</v>
      </c>
      <c r="G283" s="17" t="s">
        <v>43</v>
      </c>
      <c r="H283" s="18" t="n">
        <v>1800</v>
      </c>
      <c r="I283" s="18" t="n">
        <v>0</v>
      </c>
      <c r="J283" s="17" t="s">
        <v>1401</v>
      </c>
      <c r="K283" s="17"/>
      <c r="L283" s="17" t="s">
        <v>45</v>
      </c>
      <c r="M283" s="17" t="s">
        <v>46</v>
      </c>
      <c r="N283" s="17"/>
    </row>
    <row r="284" customFormat="false" ht="39.55" hidden="false" customHeight="false" outlineLevel="0" collapsed="false">
      <c r="A284" s="16" t="n">
        <v>283</v>
      </c>
      <c r="B284" s="17" t="s">
        <v>1402</v>
      </c>
      <c r="C284" s="17" t="s">
        <v>775</v>
      </c>
      <c r="D284" s="17" t="s">
        <v>1403</v>
      </c>
      <c r="E284" s="17" t="s">
        <v>1404</v>
      </c>
      <c r="F284" s="17" t="s">
        <v>1405</v>
      </c>
      <c r="G284" s="17" t="s">
        <v>43</v>
      </c>
      <c r="H284" s="18" t="n">
        <v>1800</v>
      </c>
      <c r="I284" s="18" t="n">
        <v>0</v>
      </c>
      <c r="J284" s="17" t="s">
        <v>1406</v>
      </c>
      <c r="K284" s="17"/>
      <c r="L284" s="17" t="s">
        <v>45</v>
      </c>
      <c r="M284" s="17" t="s">
        <v>46</v>
      </c>
      <c r="N284" s="17"/>
    </row>
    <row r="285" customFormat="false" ht="39.55" hidden="false" customHeight="false" outlineLevel="0" collapsed="false">
      <c r="A285" s="16" t="n">
        <v>284</v>
      </c>
      <c r="B285" s="17" t="s">
        <v>1407</v>
      </c>
      <c r="C285" s="17" t="s">
        <v>39</v>
      </c>
      <c r="D285" s="17" t="s">
        <v>1408</v>
      </c>
      <c r="E285" s="17" t="s">
        <v>1409</v>
      </c>
      <c r="F285" s="17" t="s">
        <v>1410</v>
      </c>
      <c r="G285" s="17" t="s">
        <v>43</v>
      </c>
      <c r="H285" s="18" t="n">
        <v>1800</v>
      </c>
      <c r="I285" s="18" t="n">
        <v>0</v>
      </c>
      <c r="J285" s="17" t="s">
        <v>1411</v>
      </c>
      <c r="K285" s="17"/>
      <c r="L285" s="17" t="s">
        <v>45</v>
      </c>
      <c r="M285" s="17" t="s">
        <v>46</v>
      </c>
      <c r="N285" s="17"/>
    </row>
    <row r="286" customFormat="false" ht="77.6" hidden="false" customHeight="false" outlineLevel="0" collapsed="false">
      <c r="A286" s="16" t="n">
        <v>285</v>
      </c>
      <c r="B286" s="17" t="s">
        <v>1412</v>
      </c>
      <c r="C286" s="17" t="s">
        <v>580</v>
      </c>
      <c r="D286" s="17" t="s">
        <v>1413</v>
      </c>
      <c r="E286" s="17" t="s">
        <v>1414</v>
      </c>
      <c r="F286" s="17" t="s">
        <v>1415</v>
      </c>
      <c r="G286" s="17" t="s">
        <v>43</v>
      </c>
      <c r="H286" s="18" t="n">
        <v>1800</v>
      </c>
      <c r="I286" s="18" t="n">
        <v>0</v>
      </c>
      <c r="J286" s="17" t="s">
        <v>1416</v>
      </c>
      <c r="K286" s="17"/>
      <c r="L286" s="17" t="s">
        <v>45</v>
      </c>
      <c r="M286" s="17" t="s">
        <v>46</v>
      </c>
      <c r="N286" s="17"/>
    </row>
    <row r="287" customFormat="false" ht="39.55" hidden="false" customHeight="false" outlineLevel="0" collapsed="false">
      <c r="A287" s="16" t="n">
        <v>286</v>
      </c>
      <c r="B287" s="17" t="s">
        <v>1417</v>
      </c>
      <c r="C287" s="17" t="s">
        <v>39</v>
      </c>
      <c r="D287" s="17" t="s">
        <v>1418</v>
      </c>
      <c r="E287" s="17" t="s">
        <v>1419</v>
      </c>
      <c r="F287" s="17" t="s">
        <v>1420</v>
      </c>
      <c r="G287" s="17" t="s">
        <v>43</v>
      </c>
      <c r="H287" s="18" t="n">
        <v>1800</v>
      </c>
      <c r="I287" s="18" t="n">
        <v>0</v>
      </c>
      <c r="J287" s="17" t="s">
        <v>1421</v>
      </c>
      <c r="K287" s="17"/>
      <c r="L287" s="17" t="s">
        <v>45</v>
      </c>
      <c r="M287" s="17" t="s">
        <v>46</v>
      </c>
      <c r="N287" s="17"/>
    </row>
    <row r="288" customFormat="false" ht="77.6" hidden="false" customHeight="false" outlineLevel="0" collapsed="false">
      <c r="A288" s="16" t="n">
        <v>287</v>
      </c>
      <c r="B288" s="17" t="s">
        <v>1422</v>
      </c>
      <c r="C288" s="17" t="s">
        <v>278</v>
      </c>
      <c r="D288" s="17" t="s">
        <v>1423</v>
      </c>
      <c r="E288" s="17" t="s">
        <v>1424</v>
      </c>
      <c r="F288" s="17" t="s">
        <v>1425</v>
      </c>
      <c r="G288" s="17" t="s">
        <v>43</v>
      </c>
      <c r="H288" s="18" t="n">
        <v>1800</v>
      </c>
      <c r="I288" s="18" t="n">
        <v>0</v>
      </c>
      <c r="J288" s="17" t="s">
        <v>1426</v>
      </c>
      <c r="K288" s="17"/>
      <c r="L288" s="17" t="s">
        <v>45</v>
      </c>
      <c r="M288" s="17" t="s">
        <v>46</v>
      </c>
      <c r="N288" s="17"/>
    </row>
    <row r="289" customFormat="false" ht="26.85" hidden="false" customHeight="false" outlineLevel="0" collapsed="false">
      <c r="A289" s="16" t="n">
        <v>288</v>
      </c>
      <c r="B289" s="17" t="s">
        <v>1427</v>
      </c>
      <c r="C289" s="17" t="s">
        <v>433</v>
      </c>
      <c r="D289" s="17" t="s">
        <v>1428</v>
      </c>
      <c r="E289" s="17" t="s">
        <v>1429</v>
      </c>
      <c r="F289" s="17" t="s">
        <v>1430</v>
      </c>
      <c r="G289" s="17" t="s">
        <v>43</v>
      </c>
      <c r="H289" s="18" t="n">
        <v>1500</v>
      </c>
      <c r="I289" s="18" t="n">
        <v>0</v>
      </c>
      <c r="J289" s="17" t="s">
        <v>1431</v>
      </c>
      <c r="K289" s="17"/>
      <c r="L289" s="17" t="s">
        <v>53</v>
      </c>
      <c r="M289" s="17" t="s">
        <v>46</v>
      </c>
      <c r="N289" s="17"/>
    </row>
    <row r="290" customFormat="false" ht="52.2" hidden="false" customHeight="false" outlineLevel="0" collapsed="false">
      <c r="A290" s="16" t="n">
        <v>289</v>
      </c>
      <c r="B290" s="17" t="s">
        <v>1432</v>
      </c>
      <c r="C290" s="17" t="s">
        <v>754</v>
      </c>
      <c r="D290" s="17" t="s">
        <v>1433</v>
      </c>
      <c r="E290" s="17" t="s">
        <v>1434</v>
      </c>
      <c r="F290" s="17" t="s">
        <v>1435</v>
      </c>
      <c r="G290" s="17" t="s">
        <v>43</v>
      </c>
      <c r="H290" s="18" t="n">
        <v>1800</v>
      </c>
      <c r="I290" s="18" t="n">
        <v>0</v>
      </c>
      <c r="J290" s="17" t="s">
        <v>1436</v>
      </c>
      <c r="K290" s="17"/>
      <c r="L290" s="17" t="s">
        <v>45</v>
      </c>
      <c r="M290" s="17" t="s">
        <v>46</v>
      </c>
      <c r="N290" s="17"/>
    </row>
    <row r="291" customFormat="false" ht="26.85" hidden="false" customHeight="false" outlineLevel="0" collapsed="false">
      <c r="A291" s="16" t="n">
        <v>290</v>
      </c>
      <c r="B291" s="17" t="s">
        <v>1437</v>
      </c>
      <c r="C291" s="17" t="s">
        <v>81</v>
      </c>
      <c r="D291" s="17" t="s">
        <v>1438</v>
      </c>
      <c r="E291" s="17" t="s">
        <v>1439</v>
      </c>
      <c r="F291" s="17" t="s">
        <v>1440</v>
      </c>
      <c r="G291" s="17" t="s">
        <v>43</v>
      </c>
      <c r="H291" s="18" t="n">
        <v>1500</v>
      </c>
      <c r="I291" s="18" t="n">
        <v>0</v>
      </c>
      <c r="J291" s="17" t="s">
        <v>1441</v>
      </c>
      <c r="K291" s="17"/>
      <c r="L291" s="17" t="s">
        <v>53</v>
      </c>
      <c r="M291" s="17" t="s">
        <v>46</v>
      </c>
      <c r="N291" s="17"/>
    </row>
    <row r="292" customFormat="false" ht="26.85" hidden="false" customHeight="false" outlineLevel="0" collapsed="false">
      <c r="A292" s="16" t="n">
        <v>291</v>
      </c>
      <c r="B292" s="17" t="s">
        <v>1442</v>
      </c>
      <c r="C292" s="17" t="s">
        <v>39</v>
      </c>
      <c r="D292" s="17" t="s">
        <v>1443</v>
      </c>
      <c r="E292" s="17" t="s">
        <v>1444</v>
      </c>
      <c r="F292" s="17" t="s">
        <v>1445</v>
      </c>
      <c r="G292" s="17" t="s">
        <v>43</v>
      </c>
      <c r="H292" s="18" t="n">
        <v>1800</v>
      </c>
      <c r="I292" s="18" t="n">
        <v>0</v>
      </c>
      <c r="J292" s="17" t="s">
        <v>1446</v>
      </c>
      <c r="K292" s="17"/>
      <c r="L292" s="17" t="s">
        <v>45</v>
      </c>
      <c r="M292" s="17" t="s">
        <v>46</v>
      </c>
      <c r="N292" s="17"/>
    </row>
    <row r="293" customFormat="false" ht="26.85" hidden="false" customHeight="false" outlineLevel="0" collapsed="false">
      <c r="A293" s="16" t="n">
        <v>292</v>
      </c>
      <c r="B293" s="17" t="s">
        <v>1447</v>
      </c>
      <c r="C293" s="17" t="s">
        <v>278</v>
      </c>
      <c r="D293" s="17" t="s">
        <v>1448</v>
      </c>
      <c r="E293" s="17" t="s">
        <v>1449</v>
      </c>
      <c r="F293" s="17" t="s">
        <v>1450</v>
      </c>
      <c r="G293" s="17" t="s">
        <v>43</v>
      </c>
      <c r="H293" s="18" t="n">
        <v>1800</v>
      </c>
      <c r="I293" s="18" t="n">
        <v>0</v>
      </c>
      <c r="J293" s="17" t="s">
        <v>1451</v>
      </c>
      <c r="K293" s="17"/>
      <c r="L293" s="17" t="s">
        <v>45</v>
      </c>
      <c r="M293" s="17" t="s">
        <v>46</v>
      </c>
      <c r="N293" s="17"/>
    </row>
    <row r="294" customFormat="false" ht="26.85" hidden="false" customHeight="false" outlineLevel="0" collapsed="false">
      <c r="A294" s="16" t="n">
        <v>293</v>
      </c>
      <c r="B294" s="17" t="s">
        <v>1452</v>
      </c>
      <c r="C294" s="17" t="s">
        <v>48</v>
      </c>
      <c r="D294" s="17" t="s">
        <v>1453</v>
      </c>
      <c r="E294" s="17" t="s">
        <v>1454</v>
      </c>
      <c r="F294" s="17" t="s">
        <v>1455</v>
      </c>
      <c r="G294" s="17" t="s">
        <v>43</v>
      </c>
      <c r="H294" s="18" t="n">
        <v>1500</v>
      </c>
      <c r="I294" s="18" t="n">
        <v>0</v>
      </c>
      <c r="J294" s="17" t="s">
        <v>1456</v>
      </c>
      <c r="K294" s="17"/>
      <c r="L294" s="17" t="s">
        <v>53</v>
      </c>
      <c r="M294" s="17" t="s">
        <v>46</v>
      </c>
      <c r="N294" s="17"/>
    </row>
    <row r="295" customFormat="false" ht="26.85" hidden="false" customHeight="false" outlineLevel="0" collapsed="false">
      <c r="A295" s="16" t="n">
        <v>294</v>
      </c>
      <c r="B295" s="17" t="s">
        <v>1457</v>
      </c>
      <c r="C295" s="17" t="s">
        <v>754</v>
      </c>
      <c r="D295" s="17" t="s">
        <v>1458</v>
      </c>
      <c r="E295" s="17" t="s">
        <v>1459</v>
      </c>
      <c r="F295" s="17" t="s">
        <v>1460</v>
      </c>
      <c r="G295" s="17" t="s">
        <v>43</v>
      </c>
      <c r="H295" s="18" t="n">
        <v>1800</v>
      </c>
      <c r="I295" s="18" t="n">
        <v>0</v>
      </c>
      <c r="J295" s="17" t="s">
        <v>1461</v>
      </c>
      <c r="K295" s="17"/>
      <c r="L295" s="17" t="s">
        <v>45</v>
      </c>
      <c r="M295" s="17" t="s">
        <v>46</v>
      </c>
      <c r="N295" s="17"/>
    </row>
    <row r="296" customFormat="false" ht="26.85" hidden="false" customHeight="false" outlineLevel="0" collapsed="false">
      <c r="A296" s="16" t="n">
        <v>295</v>
      </c>
      <c r="B296" s="17" t="s">
        <v>1462</v>
      </c>
      <c r="C296" s="17" t="s">
        <v>601</v>
      </c>
      <c r="D296" s="17" t="s">
        <v>1463</v>
      </c>
      <c r="E296" s="17" t="s">
        <v>1464</v>
      </c>
      <c r="F296" s="17" t="s">
        <v>1465</v>
      </c>
      <c r="G296" s="17" t="s">
        <v>43</v>
      </c>
      <c r="H296" s="18" t="n">
        <v>1500</v>
      </c>
      <c r="I296" s="18" t="n">
        <v>0</v>
      </c>
      <c r="J296" s="17" t="s">
        <v>1466</v>
      </c>
      <c r="K296" s="17"/>
      <c r="L296" s="17" t="s">
        <v>53</v>
      </c>
      <c r="M296" s="17" t="s">
        <v>46</v>
      </c>
      <c r="N296" s="17"/>
    </row>
    <row r="297" customFormat="false" ht="26.85" hidden="false" customHeight="false" outlineLevel="0" collapsed="false">
      <c r="A297" s="16" t="n">
        <v>296</v>
      </c>
      <c r="B297" s="17" t="s">
        <v>1467</v>
      </c>
      <c r="C297" s="17" t="s">
        <v>39</v>
      </c>
      <c r="D297" s="17" t="s">
        <v>1468</v>
      </c>
      <c r="E297" s="17" t="s">
        <v>1469</v>
      </c>
      <c r="F297" s="17" t="s">
        <v>1470</v>
      </c>
      <c r="G297" s="17" t="s">
        <v>43</v>
      </c>
      <c r="H297" s="18" t="n">
        <v>1800</v>
      </c>
      <c r="I297" s="18" t="n">
        <v>0</v>
      </c>
      <c r="J297" s="17" t="s">
        <v>1471</v>
      </c>
      <c r="K297" s="17"/>
      <c r="L297" s="17" t="s">
        <v>45</v>
      </c>
      <c r="M297" s="17" t="s">
        <v>46</v>
      </c>
      <c r="N297" s="17"/>
    </row>
    <row r="298" customFormat="false" ht="26.85" hidden="false" customHeight="false" outlineLevel="0" collapsed="false">
      <c r="A298" s="16" t="n">
        <v>297</v>
      </c>
      <c r="B298" s="17" t="s">
        <v>1472</v>
      </c>
      <c r="C298" s="17" t="s">
        <v>489</v>
      </c>
      <c r="D298" s="17" t="s">
        <v>1473</v>
      </c>
      <c r="E298" s="17" t="s">
        <v>1474</v>
      </c>
      <c r="F298" s="17" t="s">
        <v>1475</v>
      </c>
      <c r="G298" s="17" t="s">
        <v>43</v>
      </c>
      <c r="H298" s="18" t="n">
        <v>1800</v>
      </c>
      <c r="I298" s="18" t="n">
        <v>0</v>
      </c>
      <c r="J298" s="17" t="s">
        <v>1476</v>
      </c>
      <c r="K298" s="17"/>
      <c r="L298" s="17" t="s">
        <v>45</v>
      </c>
      <c r="M298" s="17" t="s">
        <v>46</v>
      </c>
      <c r="N298" s="17"/>
    </row>
    <row r="299" customFormat="false" ht="39.55" hidden="false" customHeight="false" outlineLevel="0" collapsed="false">
      <c r="A299" s="16" t="n">
        <v>298</v>
      </c>
      <c r="B299" s="17" t="s">
        <v>1477</v>
      </c>
      <c r="C299" s="17" t="s">
        <v>754</v>
      </c>
      <c r="D299" s="17" t="s">
        <v>1478</v>
      </c>
      <c r="E299" s="17" t="s">
        <v>1479</v>
      </c>
      <c r="F299" s="17" t="s">
        <v>1480</v>
      </c>
      <c r="G299" s="17" t="s">
        <v>43</v>
      </c>
      <c r="H299" s="18" t="n">
        <v>1800</v>
      </c>
      <c r="I299" s="18" t="n">
        <v>0</v>
      </c>
      <c r="J299" s="17" t="s">
        <v>1481</v>
      </c>
      <c r="K299" s="17"/>
      <c r="L299" s="17" t="s">
        <v>45</v>
      </c>
      <c r="M299" s="17" t="s">
        <v>46</v>
      </c>
      <c r="N299" s="17"/>
    </row>
    <row r="300" customFormat="false" ht="39.55" hidden="false" customHeight="false" outlineLevel="0" collapsed="false">
      <c r="A300" s="16" t="n">
        <v>299</v>
      </c>
      <c r="B300" s="17" t="s">
        <v>1482</v>
      </c>
      <c r="C300" s="17" t="s">
        <v>191</v>
      </c>
      <c r="D300" s="17" t="s">
        <v>1483</v>
      </c>
      <c r="E300" s="17" t="s">
        <v>1484</v>
      </c>
      <c r="F300" s="17" t="s">
        <v>1485</v>
      </c>
      <c r="G300" s="17" t="s">
        <v>43</v>
      </c>
      <c r="H300" s="18" t="n">
        <v>1800</v>
      </c>
      <c r="I300" s="18" t="n">
        <v>0</v>
      </c>
      <c r="J300" s="17" t="s">
        <v>1486</v>
      </c>
      <c r="K300" s="17"/>
      <c r="L300" s="17" t="s">
        <v>45</v>
      </c>
      <c r="M300" s="17" t="s">
        <v>46</v>
      </c>
      <c r="N300" s="17"/>
    </row>
    <row r="301" customFormat="false" ht="26.85" hidden="false" customHeight="false" outlineLevel="0" collapsed="false">
      <c r="A301" s="16" t="n">
        <v>300</v>
      </c>
      <c r="B301" s="17" t="s">
        <v>1487</v>
      </c>
      <c r="C301" s="17" t="s">
        <v>754</v>
      </c>
      <c r="D301" s="17" t="s">
        <v>1488</v>
      </c>
      <c r="E301" s="17" t="s">
        <v>1489</v>
      </c>
      <c r="F301" s="17" t="s">
        <v>1490</v>
      </c>
      <c r="G301" s="17" t="s">
        <v>43</v>
      </c>
      <c r="H301" s="18" t="n">
        <v>1800</v>
      </c>
      <c r="I301" s="18" t="n">
        <v>0</v>
      </c>
      <c r="J301" s="17" t="s">
        <v>1491</v>
      </c>
      <c r="K301" s="17"/>
      <c r="L301" s="17" t="s">
        <v>45</v>
      </c>
      <c r="M301" s="17" t="s">
        <v>46</v>
      </c>
      <c r="N301" s="17"/>
    </row>
    <row r="302" customFormat="false" ht="26.85" hidden="false" customHeight="false" outlineLevel="0" collapsed="false">
      <c r="A302" s="16" t="n">
        <v>301</v>
      </c>
      <c r="B302" s="17" t="s">
        <v>1492</v>
      </c>
      <c r="C302" s="17" t="s">
        <v>489</v>
      </c>
      <c r="D302" s="17" t="s">
        <v>1493</v>
      </c>
      <c r="E302" s="17" t="s">
        <v>1494</v>
      </c>
      <c r="F302" s="17" t="s">
        <v>1495</v>
      </c>
      <c r="G302" s="17" t="s">
        <v>43</v>
      </c>
      <c r="H302" s="18" t="n">
        <v>1800</v>
      </c>
      <c r="I302" s="18" t="n">
        <v>0</v>
      </c>
      <c r="J302" s="17" t="s">
        <v>1496</v>
      </c>
      <c r="K302" s="17"/>
      <c r="L302" s="17" t="s">
        <v>45</v>
      </c>
      <c r="M302" s="17" t="s">
        <v>46</v>
      </c>
      <c r="N302" s="17"/>
    </row>
    <row r="303" customFormat="false" ht="52.2" hidden="false" customHeight="false" outlineLevel="0" collapsed="false">
      <c r="A303" s="16" t="n">
        <v>302</v>
      </c>
      <c r="B303" s="17" t="s">
        <v>1497</v>
      </c>
      <c r="C303" s="17" t="s">
        <v>580</v>
      </c>
      <c r="D303" s="17" t="s">
        <v>1498</v>
      </c>
      <c r="E303" s="17" t="s">
        <v>1499</v>
      </c>
      <c r="F303" s="17" t="s">
        <v>1500</v>
      </c>
      <c r="G303" s="17" t="s">
        <v>43</v>
      </c>
      <c r="H303" s="18" t="n">
        <v>1800</v>
      </c>
      <c r="I303" s="18" t="n">
        <v>0</v>
      </c>
      <c r="J303" s="17" t="s">
        <v>1501</v>
      </c>
      <c r="K303" s="17"/>
      <c r="L303" s="17" t="s">
        <v>45</v>
      </c>
      <c r="M303" s="17" t="s">
        <v>46</v>
      </c>
      <c r="N303" s="17"/>
    </row>
    <row r="304" customFormat="false" ht="64.9" hidden="false" customHeight="false" outlineLevel="0" collapsed="false">
      <c r="A304" s="16" t="n">
        <v>303</v>
      </c>
      <c r="B304" s="17" t="s">
        <v>1502</v>
      </c>
      <c r="C304" s="17" t="s">
        <v>200</v>
      </c>
      <c r="D304" s="17" t="s">
        <v>1503</v>
      </c>
      <c r="E304" s="17" t="s">
        <v>1504</v>
      </c>
      <c r="F304" s="17" t="s">
        <v>1505</v>
      </c>
      <c r="G304" s="17" t="s">
        <v>43</v>
      </c>
      <c r="H304" s="18" t="n">
        <v>1800</v>
      </c>
      <c r="I304" s="18" t="n">
        <v>0</v>
      </c>
      <c r="J304" s="17" t="s">
        <v>1506</v>
      </c>
      <c r="K304" s="17"/>
      <c r="L304" s="17" t="s">
        <v>45</v>
      </c>
      <c r="M304" s="17" t="s">
        <v>46</v>
      </c>
      <c r="N304" s="17"/>
    </row>
    <row r="305" customFormat="false" ht="26.85" hidden="false" customHeight="false" outlineLevel="0" collapsed="false">
      <c r="A305" s="16" t="n">
        <v>304</v>
      </c>
      <c r="B305" s="17" t="s">
        <v>1507</v>
      </c>
      <c r="C305" s="17" t="s">
        <v>278</v>
      </c>
      <c r="D305" s="17" t="s">
        <v>1508</v>
      </c>
      <c r="E305" s="17" t="s">
        <v>1509</v>
      </c>
      <c r="F305" s="17" t="s">
        <v>1510</v>
      </c>
      <c r="G305" s="17" t="s">
        <v>43</v>
      </c>
      <c r="H305" s="18" t="n">
        <v>1800</v>
      </c>
      <c r="I305" s="18" t="n">
        <v>0</v>
      </c>
      <c r="J305" s="17" t="s">
        <v>1511</v>
      </c>
      <c r="K305" s="17"/>
      <c r="L305" s="17" t="s">
        <v>45</v>
      </c>
      <c r="M305" s="17" t="s">
        <v>46</v>
      </c>
      <c r="N305" s="17"/>
    </row>
    <row r="306" customFormat="false" ht="26.85" hidden="false" customHeight="false" outlineLevel="0" collapsed="false">
      <c r="A306" s="16" t="n">
        <v>305</v>
      </c>
      <c r="B306" s="17" t="s">
        <v>1512</v>
      </c>
      <c r="C306" s="17" t="s">
        <v>61</v>
      </c>
      <c r="D306" s="17" t="s">
        <v>1513</v>
      </c>
      <c r="E306" s="17" t="s">
        <v>1514</v>
      </c>
      <c r="F306" s="17" t="s">
        <v>1515</v>
      </c>
      <c r="G306" s="17" t="s">
        <v>43</v>
      </c>
      <c r="H306" s="18" t="n">
        <v>1500</v>
      </c>
      <c r="I306" s="18" t="n">
        <v>0</v>
      </c>
      <c r="J306" s="17" t="s">
        <v>1516</v>
      </c>
      <c r="K306" s="17"/>
      <c r="L306" s="17" t="s">
        <v>53</v>
      </c>
      <c r="M306" s="17" t="s">
        <v>46</v>
      </c>
      <c r="N306" s="17"/>
    </row>
    <row r="307" customFormat="false" ht="39.55" hidden="false" customHeight="false" outlineLevel="0" collapsed="false">
      <c r="A307" s="16" t="n">
        <v>306</v>
      </c>
      <c r="B307" s="17" t="s">
        <v>1517</v>
      </c>
      <c r="C307" s="17" t="s">
        <v>489</v>
      </c>
      <c r="D307" s="17" t="s">
        <v>1518</v>
      </c>
      <c r="E307" s="17" t="s">
        <v>1519</v>
      </c>
      <c r="F307" s="17" t="s">
        <v>1520</v>
      </c>
      <c r="G307" s="17" t="s">
        <v>43</v>
      </c>
      <c r="H307" s="18" t="n">
        <v>1800</v>
      </c>
      <c r="I307" s="18" t="n">
        <v>0</v>
      </c>
      <c r="J307" s="17" t="s">
        <v>1521</v>
      </c>
      <c r="K307" s="17"/>
      <c r="L307" s="17" t="s">
        <v>45</v>
      </c>
      <c r="M307" s="17" t="s">
        <v>46</v>
      </c>
      <c r="N307" s="17"/>
    </row>
    <row r="308" customFormat="false" ht="26.85" hidden="false" customHeight="false" outlineLevel="0" collapsed="false">
      <c r="A308" s="16" t="n">
        <v>307</v>
      </c>
      <c r="B308" s="17" t="s">
        <v>1522</v>
      </c>
      <c r="C308" s="17" t="s">
        <v>200</v>
      </c>
      <c r="D308" s="17" t="s">
        <v>1523</v>
      </c>
      <c r="E308" s="17" t="s">
        <v>1524</v>
      </c>
      <c r="F308" s="17" t="s">
        <v>1525</v>
      </c>
      <c r="G308" s="17" t="s">
        <v>43</v>
      </c>
      <c r="H308" s="18" t="n">
        <v>1800</v>
      </c>
      <c r="I308" s="18" t="n">
        <v>0</v>
      </c>
      <c r="J308" s="17" t="s">
        <v>1526</v>
      </c>
      <c r="K308" s="17"/>
      <c r="L308" s="17" t="s">
        <v>45</v>
      </c>
      <c r="M308" s="17" t="s">
        <v>46</v>
      </c>
      <c r="N308" s="17"/>
    </row>
    <row r="309" customFormat="false" ht="90.25" hidden="false" customHeight="false" outlineLevel="0" collapsed="false">
      <c r="A309" s="16" t="n">
        <v>308</v>
      </c>
      <c r="B309" s="17" t="s">
        <v>1527</v>
      </c>
      <c r="C309" s="17" t="s">
        <v>561</v>
      </c>
      <c r="D309" s="17" t="s">
        <v>1528</v>
      </c>
      <c r="E309" s="17" t="s">
        <v>1529</v>
      </c>
      <c r="F309" s="17" t="s">
        <v>1530</v>
      </c>
      <c r="G309" s="17" t="s">
        <v>43</v>
      </c>
      <c r="H309" s="18" t="n">
        <v>1800</v>
      </c>
      <c r="I309" s="18" t="n">
        <v>0</v>
      </c>
      <c r="J309" s="17" t="s">
        <v>1531</v>
      </c>
      <c r="K309" s="17"/>
      <c r="L309" s="17" t="s">
        <v>45</v>
      </c>
      <c r="M309" s="17" t="s">
        <v>46</v>
      </c>
      <c r="N309" s="17"/>
    </row>
    <row r="310" customFormat="false" ht="26.85" hidden="false" customHeight="false" outlineLevel="0" collapsed="false">
      <c r="A310" s="16" t="n">
        <v>309</v>
      </c>
      <c r="B310" s="17" t="s">
        <v>1532</v>
      </c>
      <c r="C310" s="17" t="s">
        <v>561</v>
      </c>
      <c r="D310" s="17" t="s">
        <v>1533</v>
      </c>
      <c r="E310" s="17" t="s">
        <v>1534</v>
      </c>
      <c r="F310" s="17" t="s">
        <v>1535</v>
      </c>
      <c r="G310" s="17" t="s">
        <v>43</v>
      </c>
      <c r="H310" s="18" t="n">
        <v>1800</v>
      </c>
      <c r="I310" s="18" t="n">
        <v>0</v>
      </c>
      <c r="J310" s="17" t="s">
        <v>1536</v>
      </c>
      <c r="K310" s="17"/>
      <c r="L310" s="17" t="s">
        <v>45</v>
      </c>
      <c r="M310" s="17" t="s">
        <v>46</v>
      </c>
      <c r="N310" s="17"/>
    </row>
    <row r="311" customFormat="false" ht="26.85" hidden="false" customHeight="false" outlineLevel="0" collapsed="false">
      <c r="A311" s="16" t="n">
        <v>310</v>
      </c>
      <c r="B311" s="17" t="s">
        <v>1537</v>
      </c>
      <c r="C311" s="17" t="s">
        <v>81</v>
      </c>
      <c r="D311" s="17" t="s">
        <v>1538</v>
      </c>
      <c r="E311" s="17" t="s">
        <v>1539</v>
      </c>
      <c r="F311" s="17" t="s">
        <v>1540</v>
      </c>
      <c r="G311" s="17" t="s">
        <v>43</v>
      </c>
      <c r="H311" s="18" t="n">
        <v>1500</v>
      </c>
      <c r="I311" s="18" t="n">
        <v>0</v>
      </c>
      <c r="J311" s="17" t="s">
        <v>1541</v>
      </c>
      <c r="K311" s="17"/>
      <c r="L311" s="17" t="s">
        <v>53</v>
      </c>
      <c r="M311" s="17" t="s">
        <v>46</v>
      </c>
      <c r="N311" s="17"/>
    </row>
    <row r="312" customFormat="false" ht="52.2" hidden="false" customHeight="false" outlineLevel="0" collapsed="false">
      <c r="A312" s="16" t="n">
        <v>311</v>
      </c>
      <c r="B312" s="17" t="s">
        <v>1542</v>
      </c>
      <c r="C312" s="17" t="s">
        <v>136</v>
      </c>
      <c r="D312" s="17" t="s">
        <v>1543</v>
      </c>
      <c r="E312" s="17" t="s">
        <v>1544</v>
      </c>
      <c r="F312" s="17" t="s">
        <v>1545</v>
      </c>
      <c r="G312" s="17" t="s">
        <v>43</v>
      </c>
      <c r="H312" s="18" t="n">
        <v>1800</v>
      </c>
      <c r="I312" s="18" t="n">
        <v>0</v>
      </c>
      <c r="J312" s="17" t="s">
        <v>1546</v>
      </c>
      <c r="K312" s="17"/>
      <c r="L312" s="17" t="s">
        <v>45</v>
      </c>
      <c r="M312" s="17" t="s">
        <v>46</v>
      </c>
      <c r="N312" s="17"/>
    </row>
    <row r="313" customFormat="false" ht="26.85" hidden="false" customHeight="false" outlineLevel="0" collapsed="false">
      <c r="A313" s="16" t="n">
        <v>312</v>
      </c>
      <c r="B313" s="17" t="s">
        <v>1547</v>
      </c>
      <c r="C313" s="17" t="s">
        <v>136</v>
      </c>
      <c r="D313" s="17" t="s">
        <v>1548</v>
      </c>
      <c r="E313" s="17" t="s">
        <v>1549</v>
      </c>
      <c r="F313" s="17" t="s">
        <v>1550</v>
      </c>
      <c r="G313" s="17" t="s">
        <v>43</v>
      </c>
      <c r="H313" s="18" t="n">
        <v>1800</v>
      </c>
      <c r="I313" s="18" t="n">
        <v>0</v>
      </c>
      <c r="J313" s="17" t="s">
        <v>1551</v>
      </c>
      <c r="K313" s="17"/>
      <c r="L313" s="17" t="s">
        <v>45</v>
      </c>
      <c r="M313" s="17" t="s">
        <v>46</v>
      </c>
      <c r="N313" s="17"/>
    </row>
    <row r="314" customFormat="false" ht="26.85" hidden="false" customHeight="false" outlineLevel="0" collapsed="false">
      <c r="A314" s="16" t="n">
        <v>313</v>
      </c>
      <c r="B314" s="17" t="s">
        <v>1552</v>
      </c>
      <c r="C314" s="17" t="s">
        <v>61</v>
      </c>
      <c r="D314" s="17" t="s">
        <v>1553</v>
      </c>
      <c r="E314" s="17" t="s">
        <v>1554</v>
      </c>
      <c r="F314" s="17" t="s">
        <v>1555</v>
      </c>
      <c r="G314" s="17" t="s">
        <v>43</v>
      </c>
      <c r="H314" s="18" t="n">
        <v>1500</v>
      </c>
      <c r="I314" s="18" t="n">
        <v>0</v>
      </c>
      <c r="J314" s="17" t="s">
        <v>1556</v>
      </c>
      <c r="K314" s="17"/>
      <c r="L314" s="17" t="s">
        <v>53</v>
      </c>
      <c r="M314" s="17" t="s">
        <v>46</v>
      </c>
      <c r="N314" s="17"/>
    </row>
    <row r="315" customFormat="false" ht="64.9" hidden="false" customHeight="false" outlineLevel="0" collapsed="false">
      <c r="A315" s="16" t="n">
        <v>314</v>
      </c>
      <c r="B315" s="17" t="s">
        <v>1557</v>
      </c>
      <c r="C315" s="17" t="s">
        <v>754</v>
      </c>
      <c r="D315" s="17" t="s">
        <v>1558</v>
      </c>
      <c r="E315" s="17" t="s">
        <v>1559</v>
      </c>
      <c r="F315" s="17" t="s">
        <v>1560</v>
      </c>
      <c r="G315" s="17" t="s">
        <v>43</v>
      </c>
      <c r="H315" s="18" t="n">
        <v>1800</v>
      </c>
      <c r="I315" s="18" t="n">
        <v>0</v>
      </c>
      <c r="J315" s="17" t="s">
        <v>1561</v>
      </c>
      <c r="K315" s="17"/>
      <c r="L315" s="17" t="s">
        <v>45</v>
      </c>
      <c r="M315" s="17" t="s">
        <v>46</v>
      </c>
      <c r="N315" s="17"/>
    </row>
    <row r="316" customFormat="false" ht="39.55" hidden="false" customHeight="false" outlineLevel="0" collapsed="false">
      <c r="A316" s="16" t="n">
        <v>315</v>
      </c>
      <c r="B316" s="17" t="s">
        <v>1562</v>
      </c>
      <c r="C316" s="17" t="s">
        <v>754</v>
      </c>
      <c r="D316" s="17" t="s">
        <v>1563</v>
      </c>
      <c r="E316" s="17" t="s">
        <v>1564</v>
      </c>
      <c r="F316" s="17" t="s">
        <v>1565</v>
      </c>
      <c r="G316" s="17" t="s">
        <v>43</v>
      </c>
      <c r="H316" s="18" t="n">
        <v>1800</v>
      </c>
      <c r="I316" s="18" t="n">
        <v>0</v>
      </c>
      <c r="J316" s="17" t="s">
        <v>1566</v>
      </c>
      <c r="K316" s="17"/>
      <c r="L316" s="17" t="s">
        <v>45</v>
      </c>
      <c r="M316" s="17" t="s">
        <v>46</v>
      </c>
      <c r="N316" s="17"/>
    </row>
    <row r="317" customFormat="false" ht="39.55" hidden="false" customHeight="false" outlineLevel="0" collapsed="false">
      <c r="A317" s="16" t="n">
        <v>316</v>
      </c>
      <c r="B317" s="17" t="s">
        <v>1567</v>
      </c>
      <c r="C317" s="17" t="s">
        <v>109</v>
      </c>
      <c r="D317" s="17" t="s">
        <v>1568</v>
      </c>
      <c r="E317" s="17" t="s">
        <v>1569</v>
      </c>
      <c r="F317" s="17" t="s">
        <v>1570</v>
      </c>
      <c r="G317" s="17" t="s">
        <v>43</v>
      </c>
      <c r="H317" s="18" t="n">
        <v>1800</v>
      </c>
      <c r="I317" s="18" t="n">
        <v>0</v>
      </c>
      <c r="J317" s="17" t="s">
        <v>1571</v>
      </c>
      <c r="K317" s="17"/>
      <c r="L317" s="17" t="s">
        <v>45</v>
      </c>
      <c r="M317" s="17" t="s">
        <v>46</v>
      </c>
      <c r="N317" s="17"/>
    </row>
    <row r="318" customFormat="false" ht="26.85" hidden="false" customHeight="false" outlineLevel="0" collapsed="false">
      <c r="A318" s="16" t="n">
        <v>317</v>
      </c>
      <c r="B318" s="17" t="s">
        <v>1572</v>
      </c>
      <c r="C318" s="17" t="s">
        <v>173</v>
      </c>
      <c r="D318" s="17" t="s">
        <v>1573</v>
      </c>
      <c r="E318" s="17" t="s">
        <v>1574</v>
      </c>
      <c r="F318" s="17" t="s">
        <v>1575</v>
      </c>
      <c r="G318" s="17" t="s">
        <v>43</v>
      </c>
      <c r="H318" s="18" t="n">
        <v>1800</v>
      </c>
      <c r="I318" s="18" t="n">
        <v>0</v>
      </c>
      <c r="J318" s="17" t="s">
        <v>1576</v>
      </c>
      <c r="K318" s="17"/>
      <c r="L318" s="17" t="s">
        <v>45</v>
      </c>
      <c r="M318" s="17" t="s">
        <v>46</v>
      </c>
      <c r="N318" s="17"/>
    </row>
    <row r="319" customFormat="false" ht="39.55" hidden="false" customHeight="false" outlineLevel="0" collapsed="false">
      <c r="A319" s="16" t="n">
        <v>318</v>
      </c>
      <c r="B319" s="17" t="s">
        <v>1577</v>
      </c>
      <c r="C319" s="17" t="s">
        <v>278</v>
      </c>
      <c r="D319" s="17" t="s">
        <v>1578</v>
      </c>
      <c r="E319" s="17" t="s">
        <v>1579</v>
      </c>
      <c r="F319" s="17" t="s">
        <v>1580</v>
      </c>
      <c r="G319" s="17" t="s">
        <v>43</v>
      </c>
      <c r="H319" s="18" t="n">
        <v>1800</v>
      </c>
      <c r="I319" s="18" t="n">
        <v>0</v>
      </c>
      <c r="J319" s="17" t="s">
        <v>1581</v>
      </c>
      <c r="K319" s="17"/>
      <c r="L319" s="17" t="s">
        <v>45</v>
      </c>
      <c r="M319" s="17" t="s">
        <v>46</v>
      </c>
      <c r="N319" s="17"/>
    </row>
    <row r="320" customFormat="false" ht="52.2" hidden="false" customHeight="false" outlineLevel="0" collapsed="false">
      <c r="A320" s="16" t="n">
        <v>319</v>
      </c>
      <c r="B320" s="17" t="s">
        <v>1582</v>
      </c>
      <c r="C320" s="17" t="s">
        <v>109</v>
      </c>
      <c r="D320" s="17" t="s">
        <v>1583</v>
      </c>
      <c r="E320" s="17" t="s">
        <v>1584</v>
      </c>
      <c r="F320" s="17" t="s">
        <v>1585</v>
      </c>
      <c r="G320" s="17" t="s">
        <v>43</v>
      </c>
      <c r="H320" s="18" t="n">
        <v>1800</v>
      </c>
      <c r="I320" s="18" t="n">
        <v>0</v>
      </c>
      <c r="J320" s="17" t="s">
        <v>1586</v>
      </c>
      <c r="K320" s="17"/>
      <c r="L320" s="17" t="s">
        <v>45</v>
      </c>
      <c r="M320" s="17" t="s">
        <v>46</v>
      </c>
      <c r="N320" s="17"/>
    </row>
    <row r="321" customFormat="false" ht="52.2" hidden="false" customHeight="false" outlineLevel="0" collapsed="false">
      <c r="A321" s="16" t="n">
        <v>320</v>
      </c>
      <c r="B321" s="17" t="s">
        <v>1587</v>
      </c>
      <c r="C321" s="17" t="s">
        <v>754</v>
      </c>
      <c r="D321" s="17" t="s">
        <v>1588</v>
      </c>
      <c r="E321" s="17" t="s">
        <v>1589</v>
      </c>
      <c r="F321" s="17" t="s">
        <v>1590</v>
      </c>
      <c r="G321" s="17" t="s">
        <v>43</v>
      </c>
      <c r="H321" s="18" t="n">
        <v>1800</v>
      </c>
      <c r="I321" s="18" t="n">
        <v>0</v>
      </c>
      <c r="J321" s="17" t="s">
        <v>1591</v>
      </c>
      <c r="K321" s="17"/>
      <c r="L321" s="17" t="s">
        <v>45</v>
      </c>
      <c r="M321" s="17" t="s">
        <v>46</v>
      </c>
      <c r="N321" s="17"/>
    </row>
    <row r="322" customFormat="false" ht="26.85" hidden="false" customHeight="false" outlineLevel="0" collapsed="false">
      <c r="A322" s="16" t="n">
        <v>321</v>
      </c>
      <c r="B322" s="17" t="s">
        <v>1592</v>
      </c>
      <c r="C322" s="17" t="s">
        <v>39</v>
      </c>
      <c r="D322" s="17" t="s">
        <v>1593</v>
      </c>
      <c r="E322" s="17" t="s">
        <v>1594</v>
      </c>
      <c r="F322" s="17" t="s">
        <v>1595</v>
      </c>
      <c r="G322" s="17" t="s">
        <v>43</v>
      </c>
      <c r="H322" s="18" t="n">
        <v>1800</v>
      </c>
      <c r="I322" s="18" t="n">
        <v>0</v>
      </c>
      <c r="J322" s="17" t="s">
        <v>1596</v>
      </c>
      <c r="K322" s="17"/>
      <c r="L322" s="17" t="s">
        <v>45</v>
      </c>
      <c r="M322" s="17" t="s">
        <v>46</v>
      </c>
      <c r="N322" s="17"/>
    </row>
    <row r="323" customFormat="false" ht="26.85" hidden="false" customHeight="false" outlineLevel="0" collapsed="false">
      <c r="A323" s="16" t="n">
        <v>322</v>
      </c>
      <c r="B323" s="17" t="s">
        <v>1597</v>
      </c>
      <c r="C323" s="17" t="s">
        <v>39</v>
      </c>
      <c r="D323" s="17" t="s">
        <v>1598</v>
      </c>
      <c r="E323" s="17" t="s">
        <v>1599</v>
      </c>
      <c r="F323" s="17" t="s">
        <v>1600</v>
      </c>
      <c r="G323" s="17" t="s">
        <v>43</v>
      </c>
      <c r="H323" s="18" t="n">
        <v>1800</v>
      </c>
      <c r="I323" s="18" t="n">
        <v>0</v>
      </c>
      <c r="J323" s="17" t="s">
        <v>1601</v>
      </c>
      <c r="K323" s="17"/>
      <c r="L323" s="17" t="s">
        <v>45</v>
      </c>
      <c r="M323" s="17" t="s">
        <v>46</v>
      </c>
      <c r="N323" s="17"/>
    </row>
    <row r="324" customFormat="false" ht="64.9" hidden="false" customHeight="false" outlineLevel="0" collapsed="false">
      <c r="A324" s="16" t="n">
        <v>323</v>
      </c>
      <c r="B324" s="17" t="s">
        <v>1602</v>
      </c>
      <c r="C324" s="17" t="s">
        <v>215</v>
      </c>
      <c r="D324" s="17" t="s">
        <v>1603</v>
      </c>
      <c r="E324" s="17" t="s">
        <v>1604</v>
      </c>
      <c r="F324" s="17" t="s">
        <v>1605</v>
      </c>
      <c r="G324" s="17" t="s">
        <v>43</v>
      </c>
      <c r="H324" s="18" t="n">
        <v>1800</v>
      </c>
      <c r="I324" s="18" t="n">
        <v>0</v>
      </c>
      <c r="J324" s="17" t="s">
        <v>1606</v>
      </c>
      <c r="K324" s="17"/>
      <c r="L324" s="17" t="s">
        <v>45</v>
      </c>
      <c r="M324" s="17" t="s">
        <v>46</v>
      </c>
      <c r="N324" s="17"/>
    </row>
    <row r="325" customFormat="false" ht="26.85" hidden="false" customHeight="false" outlineLevel="0" collapsed="false">
      <c r="A325" s="16" t="n">
        <v>324</v>
      </c>
      <c r="B325" s="17" t="s">
        <v>1607</v>
      </c>
      <c r="C325" s="17" t="s">
        <v>136</v>
      </c>
      <c r="D325" s="17" t="s">
        <v>1608</v>
      </c>
      <c r="E325" s="17" t="s">
        <v>1609</v>
      </c>
      <c r="F325" s="17" t="s">
        <v>1610</v>
      </c>
      <c r="G325" s="17" t="s">
        <v>43</v>
      </c>
      <c r="H325" s="18" t="n">
        <v>1800</v>
      </c>
      <c r="I325" s="18" t="n">
        <v>0</v>
      </c>
      <c r="J325" s="17" t="s">
        <v>1611</v>
      </c>
      <c r="K325" s="17"/>
      <c r="L325" s="17" t="s">
        <v>45</v>
      </c>
      <c r="M325" s="17" t="s">
        <v>46</v>
      </c>
      <c r="N325" s="17"/>
    </row>
    <row r="326" customFormat="false" ht="26.85" hidden="false" customHeight="false" outlineLevel="0" collapsed="false">
      <c r="A326" s="16" t="n">
        <v>325</v>
      </c>
      <c r="B326" s="17" t="s">
        <v>1612</v>
      </c>
      <c r="C326" s="17" t="s">
        <v>136</v>
      </c>
      <c r="D326" s="17" t="s">
        <v>1613</v>
      </c>
      <c r="E326" s="17" t="s">
        <v>1614</v>
      </c>
      <c r="F326" s="17" t="s">
        <v>1615</v>
      </c>
      <c r="G326" s="17" t="s">
        <v>43</v>
      </c>
      <c r="H326" s="18" t="n">
        <v>1800</v>
      </c>
      <c r="I326" s="18" t="n">
        <v>0</v>
      </c>
      <c r="J326" s="17" t="s">
        <v>1616</v>
      </c>
      <c r="K326" s="17"/>
      <c r="L326" s="17" t="s">
        <v>45</v>
      </c>
      <c r="M326" s="17" t="s">
        <v>46</v>
      </c>
      <c r="N326" s="17"/>
    </row>
    <row r="327" customFormat="false" ht="39.55" hidden="false" customHeight="false" outlineLevel="0" collapsed="false">
      <c r="A327" s="16" t="n">
        <v>326</v>
      </c>
      <c r="B327" s="17" t="s">
        <v>1041</v>
      </c>
      <c r="C327" s="17" t="s">
        <v>224</v>
      </c>
      <c r="D327" s="17" t="s">
        <v>1617</v>
      </c>
      <c r="E327" s="17" t="s">
        <v>1618</v>
      </c>
      <c r="F327" s="17" t="s">
        <v>1619</v>
      </c>
      <c r="G327" s="17" t="s">
        <v>43</v>
      </c>
      <c r="H327" s="18" t="n">
        <v>1800</v>
      </c>
      <c r="I327" s="18" t="n">
        <v>0</v>
      </c>
      <c r="J327" s="17" t="s">
        <v>1620</v>
      </c>
      <c r="K327" s="17"/>
      <c r="L327" s="17" t="s">
        <v>45</v>
      </c>
      <c r="M327" s="17" t="s">
        <v>46</v>
      </c>
      <c r="N327" s="17"/>
    </row>
    <row r="328" customFormat="false" ht="26.85" hidden="false" customHeight="false" outlineLevel="0" collapsed="false">
      <c r="A328" s="16" t="n">
        <v>327</v>
      </c>
      <c r="B328" s="17" t="s">
        <v>1621</v>
      </c>
      <c r="C328" s="17" t="s">
        <v>601</v>
      </c>
      <c r="D328" s="17" t="s">
        <v>1622</v>
      </c>
      <c r="E328" s="17" t="s">
        <v>1623</v>
      </c>
      <c r="F328" s="17" t="s">
        <v>1624</v>
      </c>
      <c r="G328" s="17" t="s">
        <v>43</v>
      </c>
      <c r="H328" s="18" t="n">
        <v>1500</v>
      </c>
      <c r="I328" s="18" t="n">
        <v>0</v>
      </c>
      <c r="J328" s="17" t="s">
        <v>1620</v>
      </c>
      <c r="K328" s="17"/>
      <c r="L328" s="17" t="s">
        <v>53</v>
      </c>
      <c r="M328" s="17" t="s">
        <v>46</v>
      </c>
      <c r="N328" s="17"/>
    </row>
    <row r="329" customFormat="false" ht="26.85" hidden="false" customHeight="false" outlineLevel="0" collapsed="false">
      <c r="A329" s="16" t="n">
        <v>328</v>
      </c>
      <c r="B329" s="17" t="s">
        <v>1625</v>
      </c>
      <c r="C329" s="17" t="s">
        <v>81</v>
      </c>
      <c r="D329" s="17" t="s">
        <v>1626</v>
      </c>
      <c r="E329" s="17" t="s">
        <v>1627</v>
      </c>
      <c r="F329" s="17" t="s">
        <v>1628</v>
      </c>
      <c r="G329" s="17" t="s">
        <v>43</v>
      </c>
      <c r="H329" s="18" t="n">
        <v>1500</v>
      </c>
      <c r="I329" s="18" t="n">
        <v>0</v>
      </c>
      <c r="J329" s="17" t="s">
        <v>1629</v>
      </c>
      <c r="K329" s="17"/>
      <c r="L329" s="17" t="s">
        <v>53</v>
      </c>
      <c r="M329" s="17" t="s">
        <v>46</v>
      </c>
      <c r="N329" s="17"/>
    </row>
    <row r="330" customFormat="false" ht="52.2" hidden="false" customHeight="false" outlineLevel="0" collapsed="false">
      <c r="A330" s="16" t="n">
        <v>329</v>
      </c>
      <c r="B330" s="17" t="s">
        <v>1630</v>
      </c>
      <c r="C330" s="17" t="s">
        <v>601</v>
      </c>
      <c r="D330" s="17" t="s">
        <v>1631</v>
      </c>
      <c r="E330" s="17" t="s">
        <v>1632</v>
      </c>
      <c r="F330" s="17" t="s">
        <v>1633</v>
      </c>
      <c r="G330" s="17" t="s">
        <v>43</v>
      </c>
      <c r="H330" s="18" t="n">
        <v>1500</v>
      </c>
      <c r="I330" s="18" t="n">
        <v>0</v>
      </c>
      <c r="J330" s="17" t="s">
        <v>1634</v>
      </c>
      <c r="K330" s="17"/>
      <c r="L330" s="17" t="s">
        <v>53</v>
      </c>
      <c r="M330" s="17" t="s">
        <v>46</v>
      </c>
      <c r="N330" s="17"/>
    </row>
    <row r="331" customFormat="false" ht="26.85" hidden="false" customHeight="false" outlineLevel="0" collapsed="false">
      <c r="A331" s="16" t="n">
        <v>330</v>
      </c>
      <c r="B331" s="17" t="s">
        <v>1635</v>
      </c>
      <c r="C331" s="17" t="s">
        <v>191</v>
      </c>
      <c r="D331" s="17" t="s">
        <v>1636</v>
      </c>
      <c r="E331" s="17" t="s">
        <v>1637</v>
      </c>
      <c r="F331" s="17" t="s">
        <v>1638</v>
      </c>
      <c r="G331" s="17" t="s">
        <v>43</v>
      </c>
      <c r="H331" s="18" t="n">
        <v>1800</v>
      </c>
      <c r="I331" s="18" t="n">
        <v>0</v>
      </c>
      <c r="J331" s="17" t="s">
        <v>1639</v>
      </c>
      <c r="K331" s="17"/>
      <c r="L331" s="17" t="s">
        <v>45</v>
      </c>
      <c r="M331" s="17" t="s">
        <v>46</v>
      </c>
      <c r="N331" s="17"/>
    </row>
    <row r="332" customFormat="false" ht="39.55" hidden="false" customHeight="false" outlineLevel="0" collapsed="false">
      <c r="A332" s="16" t="n">
        <v>331</v>
      </c>
      <c r="B332" s="17" t="s">
        <v>1640</v>
      </c>
      <c r="C332" s="17" t="s">
        <v>489</v>
      </c>
      <c r="D332" s="17" t="s">
        <v>1641</v>
      </c>
      <c r="E332" s="17" t="s">
        <v>1642</v>
      </c>
      <c r="F332" s="17" t="s">
        <v>1643</v>
      </c>
      <c r="G332" s="17" t="s">
        <v>43</v>
      </c>
      <c r="H332" s="18" t="n">
        <v>1800</v>
      </c>
      <c r="I332" s="18" t="n">
        <v>0</v>
      </c>
      <c r="J332" s="17" t="s">
        <v>1644</v>
      </c>
      <c r="K332" s="17"/>
      <c r="L332" s="17" t="s">
        <v>45</v>
      </c>
      <c r="M332" s="17" t="s">
        <v>46</v>
      </c>
      <c r="N332" s="17"/>
    </row>
    <row r="333" customFormat="false" ht="26.85" hidden="false" customHeight="false" outlineLevel="0" collapsed="false">
      <c r="A333" s="16" t="n">
        <v>332</v>
      </c>
      <c r="B333" s="17" t="s">
        <v>1645</v>
      </c>
      <c r="C333" s="17" t="s">
        <v>48</v>
      </c>
      <c r="D333" s="17" t="s">
        <v>1646</v>
      </c>
      <c r="E333" s="17" t="s">
        <v>1647</v>
      </c>
      <c r="F333" s="17" t="s">
        <v>1648</v>
      </c>
      <c r="G333" s="17" t="s">
        <v>43</v>
      </c>
      <c r="H333" s="18" t="n">
        <v>1500</v>
      </c>
      <c r="I333" s="18" t="n">
        <v>0</v>
      </c>
      <c r="J333" s="17" t="s">
        <v>1649</v>
      </c>
      <c r="K333" s="17"/>
      <c r="L333" s="17" t="s">
        <v>53</v>
      </c>
      <c r="M333" s="17" t="s">
        <v>46</v>
      </c>
      <c r="N333" s="17"/>
    </row>
    <row r="334" customFormat="false" ht="39.55" hidden="false" customHeight="false" outlineLevel="0" collapsed="false">
      <c r="A334" s="16" t="n">
        <v>333</v>
      </c>
      <c r="B334" s="17" t="s">
        <v>1650</v>
      </c>
      <c r="C334" s="17" t="s">
        <v>1057</v>
      </c>
      <c r="D334" s="17" t="s">
        <v>1651</v>
      </c>
      <c r="E334" s="17" t="s">
        <v>1652</v>
      </c>
      <c r="F334" s="17" t="s">
        <v>1653</v>
      </c>
      <c r="G334" s="17" t="s">
        <v>43</v>
      </c>
      <c r="H334" s="18" t="n">
        <v>1800</v>
      </c>
      <c r="I334" s="18" t="n">
        <v>0</v>
      </c>
      <c r="J334" s="17" t="s">
        <v>1654</v>
      </c>
      <c r="K334" s="17"/>
      <c r="L334" s="17" t="s">
        <v>45</v>
      </c>
      <c r="M334" s="17" t="s">
        <v>46</v>
      </c>
      <c r="N334" s="17"/>
    </row>
    <row r="335" customFormat="false" ht="39.55" hidden="false" customHeight="false" outlineLevel="0" collapsed="false">
      <c r="A335" s="16" t="n">
        <v>334</v>
      </c>
      <c r="B335" s="17" t="s">
        <v>1655</v>
      </c>
      <c r="C335" s="17" t="s">
        <v>200</v>
      </c>
      <c r="D335" s="17" t="s">
        <v>1656</v>
      </c>
      <c r="E335" s="17" t="s">
        <v>1657</v>
      </c>
      <c r="F335" s="17" t="s">
        <v>1658</v>
      </c>
      <c r="G335" s="17" t="s">
        <v>43</v>
      </c>
      <c r="H335" s="18" t="n">
        <v>1800</v>
      </c>
      <c r="I335" s="18" t="n">
        <v>0</v>
      </c>
      <c r="J335" s="17" t="s">
        <v>1654</v>
      </c>
      <c r="K335" s="17"/>
      <c r="L335" s="17" t="s">
        <v>45</v>
      </c>
      <c r="M335" s="17" t="s">
        <v>46</v>
      </c>
      <c r="N335" s="17"/>
    </row>
    <row r="336" customFormat="false" ht="39.55" hidden="false" customHeight="false" outlineLevel="0" collapsed="false">
      <c r="A336" s="16" t="n">
        <v>335</v>
      </c>
      <c r="B336" s="17" t="s">
        <v>1659</v>
      </c>
      <c r="C336" s="17" t="s">
        <v>278</v>
      </c>
      <c r="D336" s="17" t="s">
        <v>1660</v>
      </c>
      <c r="E336" s="17" t="s">
        <v>1661</v>
      </c>
      <c r="F336" s="17" t="s">
        <v>1662</v>
      </c>
      <c r="G336" s="17" t="s">
        <v>43</v>
      </c>
      <c r="H336" s="18" t="n">
        <v>1800</v>
      </c>
      <c r="I336" s="18" t="n">
        <v>0</v>
      </c>
      <c r="J336" s="17" t="s">
        <v>1663</v>
      </c>
      <c r="K336" s="17"/>
      <c r="L336" s="17" t="s">
        <v>45</v>
      </c>
      <c r="M336" s="17" t="s">
        <v>46</v>
      </c>
      <c r="N336" s="17"/>
    </row>
    <row r="337" customFormat="false" ht="26.85" hidden="false" customHeight="false" outlineLevel="0" collapsed="false">
      <c r="A337" s="16" t="n">
        <v>336</v>
      </c>
      <c r="B337" s="17" t="s">
        <v>1664</v>
      </c>
      <c r="C337" s="17" t="s">
        <v>55</v>
      </c>
      <c r="D337" s="17" t="s">
        <v>1665</v>
      </c>
      <c r="E337" s="17" t="s">
        <v>1666</v>
      </c>
      <c r="F337" s="17" t="s">
        <v>1667</v>
      </c>
      <c r="G337" s="17" t="s">
        <v>43</v>
      </c>
      <c r="H337" s="18" t="n">
        <v>1500</v>
      </c>
      <c r="I337" s="18" t="n">
        <v>0</v>
      </c>
      <c r="J337" s="17" t="s">
        <v>1668</v>
      </c>
      <c r="K337" s="17"/>
      <c r="L337" s="17" t="s">
        <v>53</v>
      </c>
      <c r="M337" s="17" t="s">
        <v>46</v>
      </c>
      <c r="N337" s="17"/>
    </row>
    <row r="338" customFormat="false" ht="39.55" hidden="false" customHeight="false" outlineLevel="0" collapsed="false">
      <c r="A338" s="16" t="n">
        <v>337</v>
      </c>
      <c r="B338" s="17" t="s">
        <v>1372</v>
      </c>
      <c r="C338" s="17" t="s">
        <v>109</v>
      </c>
      <c r="D338" s="17" t="s">
        <v>1669</v>
      </c>
      <c r="E338" s="17" t="s">
        <v>1670</v>
      </c>
      <c r="F338" s="17" t="s">
        <v>1671</v>
      </c>
      <c r="G338" s="17" t="s">
        <v>43</v>
      </c>
      <c r="H338" s="18" t="n">
        <v>1800</v>
      </c>
      <c r="I338" s="18" t="n">
        <v>0</v>
      </c>
      <c r="J338" s="17" t="s">
        <v>1672</v>
      </c>
      <c r="K338" s="17"/>
      <c r="L338" s="17" t="s">
        <v>45</v>
      </c>
      <c r="M338" s="17" t="s">
        <v>46</v>
      </c>
      <c r="N338" s="17"/>
    </row>
    <row r="339" customFormat="false" ht="77.6" hidden="false" customHeight="false" outlineLevel="0" collapsed="false">
      <c r="A339" s="16" t="n">
        <v>338</v>
      </c>
      <c r="B339" s="17" t="s">
        <v>1673</v>
      </c>
      <c r="C339" s="17" t="s">
        <v>109</v>
      </c>
      <c r="D339" s="17" t="s">
        <v>1674</v>
      </c>
      <c r="E339" s="17" t="s">
        <v>1675</v>
      </c>
      <c r="F339" s="17" t="s">
        <v>1676</v>
      </c>
      <c r="G339" s="17" t="s">
        <v>43</v>
      </c>
      <c r="H339" s="18" t="n">
        <v>1800</v>
      </c>
      <c r="I339" s="18" t="n">
        <v>0</v>
      </c>
      <c r="J339" s="17" t="s">
        <v>1677</v>
      </c>
      <c r="K339" s="17"/>
      <c r="L339" s="17" t="s">
        <v>45</v>
      </c>
      <c r="M339" s="17" t="s">
        <v>46</v>
      </c>
      <c r="N339" s="17"/>
    </row>
    <row r="340" customFormat="false" ht="26.85" hidden="false" customHeight="false" outlineLevel="0" collapsed="false">
      <c r="A340" s="16" t="n">
        <v>339</v>
      </c>
      <c r="B340" s="17" t="s">
        <v>1678</v>
      </c>
      <c r="C340" s="17" t="s">
        <v>136</v>
      </c>
      <c r="D340" s="17" t="s">
        <v>1679</v>
      </c>
      <c r="E340" s="17" t="s">
        <v>1680</v>
      </c>
      <c r="F340" s="17" t="s">
        <v>1681</v>
      </c>
      <c r="G340" s="17" t="s">
        <v>43</v>
      </c>
      <c r="H340" s="18" t="n">
        <v>1800</v>
      </c>
      <c r="I340" s="18" t="n">
        <v>0</v>
      </c>
      <c r="J340" s="17" t="s">
        <v>1682</v>
      </c>
      <c r="K340" s="17"/>
      <c r="L340" s="17" t="s">
        <v>45</v>
      </c>
      <c r="M340" s="17" t="s">
        <v>46</v>
      </c>
      <c r="N340" s="17"/>
    </row>
    <row r="341" customFormat="false" ht="26.85" hidden="false" customHeight="false" outlineLevel="0" collapsed="false">
      <c r="A341" s="16" t="n">
        <v>340</v>
      </c>
      <c r="B341" s="17" t="s">
        <v>1683</v>
      </c>
      <c r="C341" s="17" t="s">
        <v>489</v>
      </c>
      <c r="D341" s="17" t="s">
        <v>1684</v>
      </c>
      <c r="E341" s="17" t="s">
        <v>1685</v>
      </c>
      <c r="F341" s="17" t="s">
        <v>1686</v>
      </c>
      <c r="G341" s="17" t="s">
        <v>43</v>
      </c>
      <c r="H341" s="18" t="n">
        <v>1800</v>
      </c>
      <c r="I341" s="18" t="n">
        <v>0</v>
      </c>
      <c r="J341" s="17" t="s">
        <v>1687</v>
      </c>
      <c r="K341" s="17"/>
      <c r="L341" s="17" t="s">
        <v>45</v>
      </c>
      <c r="M341" s="17" t="s">
        <v>46</v>
      </c>
      <c r="N341" s="17"/>
    </row>
    <row r="342" customFormat="false" ht="26.85" hidden="false" customHeight="false" outlineLevel="0" collapsed="false">
      <c r="A342" s="16" t="n">
        <v>341</v>
      </c>
      <c r="B342" s="17" t="s">
        <v>1688</v>
      </c>
      <c r="C342" s="17" t="s">
        <v>87</v>
      </c>
      <c r="D342" s="17" t="s">
        <v>1689</v>
      </c>
      <c r="E342" s="17" t="s">
        <v>1690</v>
      </c>
      <c r="F342" s="17" t="s">
        <v>1691</v>
      </c>
      <c r="G342" s="17" t="s">
        <v>43</v>
      </c>
      <c r="H342" s="18" t="n">
        <v>1500</v>
      </c>
      <c r="I342" s="18" t="n">
        <v>0</v>
      </c>
      <c r="J342" s="17" t="s">
        <v>1692</v>
      </c>
      <c r="K342" s="17"/>
      <c r="L342" s="17" t="s">
        <v>53</v>
      </c>
      <c r="M342" s="17" t="s">
        <v>46</v>
      </c>
      <c r="N342" s="17"/>
    </row>
    <row r="343" customFormat="false" ht="90.25" hidden="false" customHeight="false" outlineLevel="0" collapsed="false">
      <c r="A343" s="16" t="n">
        <v>342</v>
      </c>
      <c r="B343" s="17" t="s">
        <v>1693</v>
      </c>
      <c r="C343" s="17" t="s">
        <v>61</v>
      </c>
      <c r="D343" s="17" t="s">
        <v>1694</v>
      </c>
      <c r="E343" s="17" t="s">
        <v>1695</v>
      </c>
      <c r="F343" s="17" t="s">
        <v>1696</v>
      </c>
      <c r="G343" s="17" t="s">
        <v>43</v>
      </c>
      <c r="H343" s="18" t="n">
        <v>1500</v>
      </c>
      <c r="I343" s="18" t="n">
        <v>0</v>
      </c>
      <c r="J343" s="17" t="s">
        <v>1697</v>
      </c>
      <c r="K343" s="17"/>
      <c r="L343" s="17" t="s">
        <v>53</v>
      </c>
      <c r="M343" s="17" t="s">
        <v>46</v>
      </c>
      <c r="N343" s="17"/>
    </row>
    <row r="344" customFormat="false" ht="26.85" hidden="false" customHeight="false" outlineLevel="0" collapsed="false">
      <c r="A344" s="16" t="n">
        <v>343</v>
      </c>
      <c r="B344" s="17" t="s">
        <v>1698</v>
      </c>
      <c r="C344" s="17" t="s">
        <v>61</v>
      </c>
      <c r="D344" s="17" t="s">
        <v>1699</v>
      </c>
      <c r="E344" s="17" t="s">
        <v>1700</v>
      </c>
      <c r="F344" s="17" t="s">
        <v>1701</v>
      </c>
      <c r="G344" s="17" t="s">
        <v>43</v>
      </c>
      <c r="H344" s="18" t="n">
        <v>1500</v>
      </c>
      <c r="I344" s="18" t="n">
        <v>0</v>
      </c>
      <c r="J344" s="17" t="s">
        <v>1702</v>
      </c>
      <c r="K344" s="17"/>
      <c r="L344" s="17" t="s">
        <v>53</v>
      </c>
      <c r="M344" s="17" t="s">
        <v>46</v>
      </c>
      <c r="N344" s="17"/>
    </row>
    <row r="347" customFormat="false" ht="15" hidden="false" customHeight="false" outlineLevel="0" collapsed="false">
      <c r="B347" s="6" t="s">
        <v>1703</v>
      </c>
    </row>
    <row r="348" customFormat="false" ht="15" hidden="false" customHeight="false" outlineLevel="0" collapsed="false">
      <c r="B348" s="7" t="s">
        <v>1704</v>
      </c>
    </row>
    <row r="349" customFormat="false" ht="15" hidden="false" customHeight="false" outlineLevel="0" collapsed="false">
      <c r="B349" s="7" t="s">
        <v>1705</v>
      </c>
    </row>
    <row r="350" customFormat="false" ht="15" hidden="false" customHeight="false" outlineLevel="0" collapsed="false">
      <c r="B350" s="7" t="s">
        <v>1706</v>
      </c>
    </row>
  </sheetData>
  <conditionalFormatting sqref="G2:G500">
    <cfRule type="cellIs" priority="2" operator="equal" aboveAverage="0" equalAverage="0" bottom="0" percent="0" rank="0" text="" dxfId="0">
      <formula>"Closed Won"</formula>
    </cfRule>
    <cfRule type="cellIs" priority="3" operator="equal" aboveAverage="0" equalAverage="0" bottom="0" percent="0" rank="0" text="" dxfId="1">
      <formula>"Delivered"</formula>
    </cfRule>
    <cfRule type="cellIs" priority="4" operator="equal" aboveAverage="0" equalAverage="0" bottom="0" percent="0" rank="0" text="" dxfId="2">
      <formula>"Proposal sent"</formula>
    </cfRule>
    <cfRule type="cellIs" priority="5" operator="equal" aboveAverage="0" equalAverage="0" bottom="0" percent="0" rank="0" text="" dxfId="3">
      <formula>"Appt booked"</formula>
    </cfRule>
    <cfRule type="cellIs" priority="6" operator="equal" aboveAverage="0" equalAverage="0" bottom="0" percent="0" rank="0" text="" dxfId="4">
      <formula>"Lost"</formula>
    </cfRule>
  </conditionalFormatting>
  <dataValidations count="1">
    <dataValidation allowBlank="true" errorStyle="stop" operator="between" showDropDown="false" showErrorMessage="false" showInputMessage="false" sqref="G2:G500" type="list">
      <formula1>"Not contacted,Researched,Walk-in attempted,Owner not there,Pitched no interest,Pitched - follow up,Appt booked,Proposal sent,Closed Won,Delivered,Lost"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28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60"/>
  </cols>
  <sheetData>
    <row r="1" customFormat="false" ht="15" hidden="false" customHeight="true" outlineLevel="0" collapsed="false">
      <c r="A1" s="11" t="s">
        <v>24</v>
      </c>
      <c r="B1" s="11" t="s">
        <v>1707</v>
      </c>
      <c r="C1" s="11" t="s">
        <v>25</v>
      </c>
      <c r="D1" s="11" t="s">
        <v>1708</v>
      </c>
      <c r="E1" s="11" t="s">
        <v>1709</v>
      </c>
      <c r="F1" s="11" t="s">
        <v>1710</v>
      </c>
    </row>
    <row r="2" customFormat="false" ht="15" hidden="false" customHeight="true" outlineLevel="0" collapsed="false">
      <c r="A2" s="17" t="n">
        <v>1</v>
      </c>
      <c r="B2" s="19"/>
      <c r="C2" s="17"/>
      <c r="D2" s="17"/>
      <c r="E2" s="17"/>
      <c r="F2" s="17"/>
    </row>
    <row r="3" customFormat="false" ht="15" hidden="false" customHeight="true" outlineLevel="0" collapsed="false">
      <c r="A3" s="17" t="n">
        <v>2</v>
      </c>
      <c r="B3" s="19"/>
      <c r="C3" s="17"/>
      <c r="D3" s="17"/>
      <c r="E3" s="17"/>
      <c r="F3" s="17"/>
    </row>
    <row r="4" customFormat="false" ht="15" hidden="false" customHeight="true" outlineLevel="0" collapsed="false">
      <c r="A4" s="17" t="n">
        <v>3</v>
      </c>
      <c r="B4" s="19"/>
      <c r="C4" s="17"/>
      <c r="D4" s="17"/>
      <c r="E4" s="17"/>
      <c r="F4" s="17"/>
    </row>
    <row r="5" customFormat="false" ht="15" hidden="false" customHeight="true" outlineLevel="0" collapsed="false">
      <c r="A5" s="17" t="n">
        <v>4</v>
      </c>
      <c r="B5" s="19"/>
      <c r="C5" s="17"/>
      <c r="D5" s="17"/>
      <c r="E5" s="17"/>
      <c r="F5" s="17"/>
    </row>
    <row r="6" customFormat="false" ht="15" hidden="false" customHeight="true" outlineLevel="0" collapsed="false">
      <c r="A6" s="17" t="n">
        <v>5</v>
      </c>
      <c r="B6" s="19"/>
      <c r="C6" s="17"/>
      <c r="D6" s="17"/>
      <c r="E6" s="17"/>
      <c r="F6" s="17"/>
    </row>
    <row r="7" customFormat="false" ht="15" hidden="false" customHeight="true" outlineLevel="0" collapsed="false">
      <c r="A7" s="17" t="n">
        <v>6</v>
      </c>
      <c r="B7" s="19"/>
      <c r="C7" s="17"/>
      <c r="D7" s="17"/>
      <c r="E7" s="17"/>
      <c r="F7" s="17"/>
    </row>
    <row r="8" customFormat="false" ht="15" hidden="false" customHeight="true" outlineLevel="0" collapsed="false">
      <c r="A8" s="17" t="n">
        <v>7</v>
      </c>
      <c r="B8" s="19"/>
      <c r="C8" s="17"/>
      <c r="D8" s="17"/>
      <c r="E8" s="17"/>
      <c r="F8" s="17"/>
    </row>
    <row r="9" customFormat="false" ht="15" hidden="false" customHeight="true" outlineLevel="0" collapsed="false">
      <c r="A9" s="17" t="n">
        <v>8</v>
      </c>
      <c r="B9" s="19"/>
      <c r="C9" s="17"/>
      <c r="D9" s="17"/>
      <c r="E9" s="17"/>
      <c r="F9" s="17"/>
    </row>
    <row r="10" customFormat="false" ht="15" hidden="false" customHeight="true" outlineLevel="0" collapsed="false">
      <c r="A10" s="17" t="n">
        <v>9</v>
      </c>
      <c r="B10" s="19"/>
      <c r="C10" s="17"/>
      <c r="D10" s="17"/>
      <c r="E10" s="17"/>
      <c r="F10" s="17"/>
    </row>
    <row r="11" customFormat="false" ht="15" hidden="false" customHeight="true" outlineLevel="0" collapsed="false">
      <c r="A11" s="17" t="n">
        <v>10</v>
      </c>
      <c r="B11" s="19"/>
      <c r="C11" s="17"/>
      <c r="D11" s="17"/>
      <c r="E11" s="17"/>
      <c r="F11" s="17"/>
    </row>
    <row r="12" customFormat="false" ht="15" hidden="false" customHeight="true" outlineLevel="0" collapsed="false">
      <c r="A12" s="17" t="n">
        <v>11</v>
      </c>
      <c r="B12" s="19"/>
      <c r="C12" s="17"/>
      <c r="D12" s="17"/>
      <c r="E12" s="17"/>
      <c r="F12" s="17"/>
    </row>
    <row r="13" customFormat="false" ht="15" hidden="false" customHeight="true" outlineLevel="0" collapsed="false">
      <c r="A13" s="17" t="n">
        <v>12</v>
      </c>
      <c r="B13" s="19"/>
      <c r="C13" s="17"/>
      <c r="D13" s="17"/>
      <c r="E13" s="17"/>
      <c r="F13" s="17"/>
    </row>
    <row r="14" customFormat="false" ht="15" hidden="false" customHeight="true" outlineLevel="0" collapsed="false">
      <c r="A14" s="17" t="n">
        <v>13</v>
      </c>
      <c r="B14" s="19"/>
      <c r="C14" s="17"/>
      <c r="D14" s="17"/>
      <c r="E14" s="17"/>
      <c r="F14" s="17"/>
    </row>
    <row r="15" customFormat="false" ht="15" hidden="false" customHeight="true" outlineLevel="0" collapsed="false">
      <c r="A15" s="17" t="n">
        <v>14</v>
      </c>
      <c r="B15" s="19"/>
      <c r="C15" s="17"/>
      <c r="D15" s="17"/>
      <c r="E15" s="17"/>
      <c r="F15" s="17"/>
    </row>
    <row r="16" customFormat="false" ht="15" hidden="false" customHeight="true" outlineLevel="0" collapsed="false">
      <c r="A16" s="17" t="n">
        <v>15</v>
      </c>
      <c r="B16" s="19"/>
      <c r="C16" s="17"/>
      <c r="D16" s="17"/>
      <c r="E16" s="17"/>
      <c r="F16" s="17"/>
    </row>
    <row r="17" customFormat="false" ht="15" hidden="false" customHeight="true" outlineLevel="0" collapsed="false">
      <c r="A17" s="17" t="n">
        <v>16</v>
      </c>
      <c r="B17" s="19"/>
      <c r="C17" s="17"/>
      <c r="D17" s="17"/>
      <c r="E17" s="17"/>
      <c r="F17" s="17"/>
    </row>
    <row r="18" customFormat="false" ht="15" hidden="false" customHeight="true" outlineLevel="0" collapsed="false">
      <c r="A18" s="17" t="n">
        <v>17</v>
      </c>
      <c r="B18" s="19"/>
      <c r="C18" s="17"/>
      <c r="D18" s="17"/>
      <c r="E18" s="17"/>
      <c r="F18" s="17"/>
    </row>
    <row r="19" customFormat="false" ht="15" hidden="false" customHeight="true" outlineLevel="0" collapsed="false">
      <c r="A19" s="17" t="n">
        <v>18</v>
      </c>
      <c r="B19" s="19"/>
      <c r="C19" s="17"/>
      <c r="D19" s="17"/>
      <c r="E19" s="17"/>
      <c r="F19" s="17"/>
    </row>
    <row r="20" customFormat="false" ht="15" hidden="false" customHeight="true" outlineLevel="0" collapsed="false">
      <c r="A20" s="17" t="n">
        <v>19</v>
      </c>
      <c r="B20" s="19"/>
      <c r="C20" s="17"/>
      <c r="D20" s="17"/>
      <c r="E20" s="17"/>
      <c r="F20" s="17"/>
    </row>
    <row r="21" customFormat="false" ht="15" hidden="false" customHeight="true" outlineLevel="0" collapsed="false">
      <c r="A21" s="17" t="n">
        <v>20</v>
      </c>
      <c r="B21" s="19"/>
      <c r="C21" s="17"/>
      <c r="D21" s="17"/>
      <c r="E21" s="17"/>
      <c r="F21" s="17"/>
    </row>
    <row r="22" customFormat="false" ht="15" hidden="false" customHeight="true" outlineLevel="0" collapsed="false">
      <c r="A22" s="17" t="n">
        <v>21</v>
      </c>
      <c r="B22" s="19"/>
      <c r="C22" s="17"/>
      <c r="D22" s="17"/>
      <c r="E22" s="17"/>
      <c r="F22" s="17"/>
    </row>
    <row r="23" customFormat="false" ht="15" hidden="false" customHeight="true" outlineLevel="0" collapsed="false">
      <c r="A23" s="17" t="n">
        <v>22</v>
      </c>
      <c r="B23" s="19"/>
      <c r="C23" s="17"/>
      <c r="D23" s="17"/>
      <c r="E23" s="17"/>
      <c r="F23" s="17"/>
    </row>
    <row r="24" customFormat="false" ht="15" hidden="false" customHeight="true" outlineLevel="0" collapsed="false">
      <c r="A24" s="17" t="n">
        <v>23</v>
      </c>
      <c r="B24" s="19"/>
      <c r="C24" s="17"/>
      <c r="D24" s="17"/>
      <c r="E24" s="17"/>
      <c r="F24" s="17"/>
    </row>
    <row r="25" customFormat="false" ht="15" hidden="false" customHeight="true" outlineLevel="0" collapsed="false">
      <c r="A25" s="17" t="n">
        <v>24</v>
      </c>
      <c r="B25" s="19"/>
      <c r="C25" s="17"/>
      <c r="D25" s="17"/>
      <c r="E25" s="17"/>
      <c r="F25" s="17"/>
    </row>
    <row r="26" customFormat="false" ht="15" hidden="false" customHeight="true" outlineLevel="0" collapsed="false">
      <c r="A26" s="17" t="n">
        <v>25</v>
      </c>
      <c r="B26" s="19"/>
      <c r="C26" s="17"/>
      <c r="D26" s="17"/>
      <c r="E26" s="17"/>
      <c r="F26" s="17"/>
    </row>
    <row r="27" customFormat="false" ht="15" hidden="false" customHeight="true" outlineLevel="0" collapsed="false">
      <c r="A27" s="17" t="n">
        <v>26</v>
      </c>
      <c r="B27" s="19"/>
      <c r="C27" s="17"/>
      <c r="D27" s="17"/>
      <c r="E27" s="17"/>
      <c r="F27" s="17"/>
    </row>
    <row r="28" customFormat="false" ht="15" hidden="false" customHeight="true" outlineLevel="0" collapsed="false">
      <c r="A28" s="17" t="n">
        <v>27</v>
      </c>
      <c r="B28" s="19"/>
      <c r="C28" s="17"/>
      <c r="D28" s="17"/>
      <c r="E28" s="17"/>
      <c r="F28" s="17"/>
    </row>
    <row r="29" customFormat="false" ht="15" hidden="false" customHeight="true" outlineLevel="0" collapsed="false">
      <c r="A29" s="17" t="n">
        <v>28</v>
      </c>
      <c r="B29" s="19"/>
      <c r="C29" s="17"/>
      <c r="D29" s="17"/>
      <c r="E29" s="17"/>
      <c r="F29" s="17"/>
    </row>
    <row r="30" customFormat="false" ht="15" hidden="false" customHeight="true" outlineLevel="0" collapsed="false">
      <c r="A30" s="17" t="n">
        <v>29</v>
      </c>
      <c r="B30" s="19"/>
      <c r="C30" s="17"/>
      <c r="D30" s="17"/>
      <c r="E30" s="17"/>
      <c r="F30" s="17"/>
    </row>
    <row r="31" customFormat="false" ht="15" hidden="false" customHeight="true" outlineLevel="0" collapsed="false">
      <c r="A31" s="17" t="n">
        <v>30</v>
      </c>
      <c r="B31" s="19"/>
      <c r="C31" s="17"/>
      <c r="D31" s="17"/>
      <c r="E31" s="17"/>
      <c r="F31" s="17"/>
    </row>
    <row r="32" customFormat="false" ht="15" hidden="false" customHeight="true" outlineLevel="0" collapsed="false">
      <c r="A32" s="17" t="n">
        <v>31</v>
      </c>
      <c r="B32" s="19"/>
      <c r="C32" s="17"/>
      <c r="D32" s="17"/>
      <c r="E32" s="17"/>
      <c r="F32" s="17"/>
    </row>
    <row r="33" customFormat="false" ht="15" hidden="false" customHeight="true" outlineLevel="0" collapsed="false">
      <c r="A33" s="17" t="n">
        <v>32</v>
      </c>
      <c r="B33" s="19"/>
      <c r="C33" s="17"/>
      <c r="D33" s="17"/>
      <c r="E33" s="17"/>
      <c r="F33" s="17"/>
    </row>
    <row r="34" customFormat="false" ht="15" hidden="false" customHeight="true" outlineLevel="0" collapsed="false">
      <c r="A34" s="17" t="n">
        <v>33</v>
      </c>
      <c r="B34" s="19"/>
      <c r="C34" s="17"/>
      <c r="D34" s="17"/>
      <c r="E34" s="17"/>
      <c r="F34" s="17"/>
    </row>
    <row r="35" customFormat="false" ht="15" hidden="false" customHeight="true" outlineLevel="0" collapsed="false">
      <c r="A35" s="17" t="n">
        <v>34</v>
      </c>
      <c r="B35" s="19"/>
      <c r="C35" s="17"/>
      <c r="D35" s="17"/>
      <c r="E35" s="17"/>
      <c r="F35" s="17"/>
    </row>
    <row r="36" customFormat="false" ht="15" hidden="false" customHeight="true" outlineLevel="0" collapsed="false">
      <c r="A36" s="17" t="n">
        <v>35</v>
      </c>
      <c r="B36" s="19"/>
      <c r="C36" s="17"/>
      <c r="D36" s="17"/>
      <c r="E36" s="17"/>
      <c r="F36" s="17"/>
    </row>
    <row r="37" customFormat="false" ht="15" hidden="false" customHeight="true" outlineLevel="0" collapsed="false">
      <c r="A37" s="17" t="n">
        <v>36</v>
      </c>
      <c r="B37" s="19"/>
      <c r="C37" s="17"/>
      <c r="D37" s="17"/>
      <c r="E37" s="17"/>
      <c r="F37" s="17"/>
    </row>
    <row r="38" customFormat="false" ht="15" hidden="false" customHeight="true" outlineLevel="0" collapsed="false">
      <c r="A38" s="17" t="n">
        <v>37</v>
      </c>
      <c r="B38" s="19"/>
      <c r="C38" s="17"/>
      <c r="D38" s="17"/>
      <c r="E38" s="17"/>
      <c r="F38" s="17"/>
    </row>
    <row r="39" customFormat="false" ht="15" hidden="false" customHeight="true" outlineLevel="0" collapsed="false">
      <c r="A39" s="17" t="n">
        <v>38</v>
      </c>
      <c r="B39" s="19"/>
      <c r="C39" s="17"/>
      <c r="D39" s="17"/>
      <c r="E39" s="17"/>
      <c r="F39" s="17"/>
    </row>
    <row r="40" customFormat="false" ht="15" hidden="false" customHeight="true" outlineLevel="0" collapsed="false">
      <c r="A40" s="17" t="n">
        <v>39</v>
      </c>
      <c r="B40" s="19"/>
      <c r="C40" s="17"/>
      <c r="D40" s="17"/>
      <c r="E40" s="17"/>
      <c r="F40" s="17"/>
    </row>
    <row r="41" customFormat="false" ht="15" hidden="false" customHeight="true" outlineLevel="0" collapsed="false">
      <c r="A41" s="17" t="n">
        <v>40</v>
      </c>
      <c r="B41" s="19"/>
      <c r="C41" s="17"/>
      <c r="D41" s="17"/>
      <c r="E41" s="17"/>
      <c r="F41" s="17"/>
    </row>
    <row r="42" customFormat="false" ht="15" hidden="false" customHeight="true" outlineLevel="0" collapsed="false">
      <c r="A42" s="17" t="n">
        <v>41</v>
      </c>
      <c r="B42" s="19"/>
      <c r="C42" s="17"/>
      <c r="D42" s="17"/>
      <c r="E42" s="17"/>
      <c r="F42" s="17"/>
    </row>
    <row r="43" customFormat="false" ht="15" hidden="false" customHeight="true" outlineLevel="0" collapsed="false">
      <c r="A43" s="17" t="n">
        <v>42</v>
      </c>
      <c r="B43" s="19"/>
      <c r="C43" s="17"/>
      <c r="D43" s="17"/>
      <c r="E43" s="17"/>
      <c r="F43" s="17"/>
    </row>
    <row r="44" customFormat="false" ht="15" hidden="false" customHeight="true" outlineLevel="0" collapsed="false">
      <c r="A44" s="17" t="n">
        <v>43</v>
      </c>
      <c r="B44" s="19"/>
      <c r="C44" s="17"/>
      <c r="D44" s="17"/>
      <c r="E44" s="17"/>
      <c r="F44" s="17"/>
    </row>
    <row r="45" customFormat="false" ht="15" hidden="false" customHeight="true" outlineLevel="0" collapsed="false">
      <c r="A45" s="17" t="n">
        <v>44</v>
      </c>
      <c r="B45" s="19"/>
      <c r="C45" s="17"/>
      <c r="D45" s="17"/>
      <c r="E45" s="17"/>
      <c r="F45" s="17"/>
    </row>
    <row r="46" customFormat="false" ht="15" hidden="false" customHeight="true" outlineLevel="0" collapsed="false">
      <c r="A46" s="17" t="n">
        <v>45</v>
      </c>
      <c r="B46" s="19"/>
      <c r="C46" s="17"/>
      <c r="D46" s="17"/>
      <c r="E46" s="17"/>
      <c r="F46" s="17"/>
    </row>
    <row r="47" customFormat="false" ht="15" hidden="false" customHeight="true" outlineLevel="0" collapsed="false">
      <c r="A47" s="17" t="n">
        <v>46</v>
      </c>
      <c r="B47" s="19"/>
      <c r="C47" s="17"/>
      <c r="D47" s="17"/>
      <c r="E47" s="17"/>
      <c r="F47" s="17"/>
    </row>
    <row r="48" customFormat="false" ht="15" hidden="false" customHeight="true" outlineLevel="0" collapsed="false">
      <c r="A48" s="17" t="n">
        <v>47</v>
      </c>
      <c r="B48" s="19"/>
      <c r="C48" s="17"/>
      <c r="D48" s="17"/>
      <c r="E48" s="17"/>
      <c r="F48" s="17"/>
    </row>
    <row r="49" customFormat="false" ht="15" hidden="false" customHeight="true" outlineLevel="0" collapsed="false">
      <c r="A49" s="17" t="n">
        <v>48</v>
      </c>
      <c r="B49" s="19"/>
      <c r="C49" s="17"/>
      <c r="D49" s="17"/>
      <c r="E49" s="17"/>
      <c r="F49" s="17"/>
    </row>
    <row r="50" customFormat="false" ht="15" hidden="false" customHeight="true" outlineLevel="0" collapsed="false">
      <c r="A50" s="17" t="n">
        <v>49</v>
      </c>
      <c r="B50" s="19"/>
      <c r="C50" s="17"/>
      <c r="D50" s="17"/>
      <c r="E50" s="17"/>
      <c r="F50" s="17"/>
    </row>
    <row r="51" customFormat="false" ht="15" hidden="false" customHeight="true" outlineLevel="0" collapsed="false">
      <c r="A51" s="17" t="n">
        <v>50</v>
      </c>
      <c r="B51" s="19"/>
      <c r="C51" s="17"/>
      <c r="D51" s="17"/>
      <c r="E51" s="17"/>
      <c r="F51" s="17"/>
    </row>
    <row r="52" customFormat="false" ht="15" hidden="false" customHeight="true" outlineLevel="0" collapsed="false">
      <c r="A52" s="17" t="n">
        <v>51</v>
      </c>
      <c r="B52" s="19"/>
      <c r="C52" s="17"/>
      <c r="D52" s="17"/>
      <c r="E52" s="17"/>
      <c r="F52" s="17"/>
    </row>
    <row r="53" customFormat="false" ht="15" hidden="false" customHeight="true" outlineLevel="0" collapsed="false">
      <c r="A53" s="17" t="n">
        <v>52</v>
      </c>
      <c r="B53" s="19"/>
      <c r="C53" s="17"/>
      <c r="D53" s="17"/>
      <c r="E53" s="17"/>
      <c r="F53" s="17"/>
    </row>
    <row r="54" customFormat="false" ht="15" hidden="false" customHeight="true" outlineLevel="0" collapsed="false">
      <c r="A54" s="17" t="n">
        <v>53</v>
      </c>
      <c r="B54" s="19"/>
      <c r="C54" s="17"/>
      <c r="D54" s="17"/>
      <c r="E54" s="17"/>
      <c r="F54" s="17"/>
    </row>
    <row r="55" customFormat="false" ht="15" hidden="false" customHeight="true" outlineLevel="0" collapsed="false">
      <c r="A55" s="17" t="n">
        <v>54</v>
      </c>
      <c r="B55" s="19"/>
      <c r="C55" s="17"/>
      <c r="D55" s="17"/>
      <c r="E55" s="17"/>
      <c r="F55" s="17"/>
    </row>
    <row r="56" customFormat="false" ht="15" hidden="false" customHeight="true" outlineLevel="0" collapsed="false">
      <c r="A56" s="17" t="n">
        <v>55</v>
      </c>
      <c r="B56" s="19"/>
      <c r="C56" s="17"/>
      <c r="D56" s="17"/>
      <c r="E56" s="17"/>
      <c r="F56" s="17"/>
    </row>
    <row r="57" customFormat="false" ht="15" hidden="false" customHeight="true" outlineLevel="0" collapsed="false">
      <c r="A57" s="17" t="n">
        <v>56</v>
      </c>
      <c r="B57" s="19"/>
      <c r="C57" s="17"/>
      <c r="D57" s="17"/>
      <c r="E57" s="17"/>
      <c r="F57" s="17"/>
    </row>
    <row r="58" customFormat="false" ht="15" hidden="false" customHeight="true" outlineLevel="0" collapsed="false">
      <c r="A58" s="17" t="n">
        <v>57</v>
      </c>
      <c r="B58" s="19"/>
      <c r="C58" s="17"/>
      <c r="D58" s="17"/>
      <c r="E58" s="17"/>
      <c r="F58" s="17"/>
    </row>
    <row r="59" customFormat="false" ht="15" hidden="false" customHeight="true" outlineLevel="0" collapsed="false">
      <c r="A59" s="17" t="n">
        <v>58</v>
      </c>
      <c r="B59" s="19"/>
      <c r="C59" s="17"/>
      <c r="D59" s="17"/>
      <c r="E59" s="17"/>
      <c r="F59" s="17"/>
    </row>
    <row r="60" customFormat="false" ht="15" hidden="false" customHeight="true" outlineLevel="0" collapsed="false">
      <c r="A60" s="17" t="n">
        <v>59</v>
      </c>
      <c r="B60" s="19"/>
      <c r="C60" s="17"/>
      <c r="D60" s="17"/>
      <c r="E60" s="17"/>
      <c r="F60" s="17"/>
    </row>
    <row r="61" customFormat="false" ht="15" hidden="false" customHeight="true" outlineLevel="0" collapsed="false">
      <c r="A61" s="17" t="n">
        <v>60</v>
      </c>
      <c r="B61" s="19"/>
      <c r="C61" s="17"/>
      <c r="D61" s="17"/>
      <c r="E61" s="17"/>
      <c r="F61" s="17"/>
    </row>
    <row r="62" customFormat="false" ht="15" hidden="false" customHeight="true" outlineLevel="0" collapsed="false">
      <c r="A62" s="17" t="n">
        <v>61</v>
      </c>
      <c r="B62" s="19"/>
      <c r="C62" s="17"/>
      <c r="D62" s="17"/>
      <c r="E62" s="17"/>
      <c r="F62" s="17"/>
    </row>
    <row r="63" customFormat="false" ht="15" hidden="false" customHeight="true" outlineLevel="0" collapsed="false">
      <c r="A63" s="17" t="n">
        <v>62</v>
      </c>
      <c r="B63" s="19"/>
      <c r="C63" s="17"/>
      <c r="D63" s="17"/>
      <c r="E63" s="17"/>
      <c r="F63" s="17"/>
    </row>
    <row r="64" customFormat="false" ht="15" hidden="false" customHeight="true" outlineLevel="0" collapsed="false">
      <c r="A64" s="17" t="n">
        <v>63</v>
      </c>
      <c r="B64" s="19"/>
      <c r="C64" s="17"/>
      <c r="D64" s="17"/>
      <c r="E64" s="17"/>
      <c r="F64" s="17"/>
    </row>
    <row r="65" customFormat="false" ht="15" hidden="false" customHeight="true" outlineLevel="0" collapsed="false">
      <c r="A65" s="17" t="n">
        <v>64</v>
      </c>
      <c r="B65" s="19"/>
      <c r="C65" s="17"/>
      <c r="D65" s="17"/>
      <c r="E65" s="17"/>
      <c r="F65" s="17"/>
    </row>
    <row r="66" customFormat="false" ht="15" hidden="false" customHeight="true" outlineLevel="0" collapsed="false">
      <c r="A66" s="17" t="n">
        <v>65</v>
      </c>
      <c r="B66" s="19"/>
      <c r="C66" s="17"/>
      <c r="D66" s="17"/>
      <c r="E66" s="17"/>
      <c r="F66" s="17"/>
    </row>
    <row r="67" customFormat="false" ht="15" hidden="false" customHeight="true" outlineLevel="0" collapsed="false">
      <c r="A67" s="17" t="n">
        <v>66</v>
      </c>
      <c r="B67" s="19"/>
      <c r="C67" s="17"/>
      <c r="D67" s="17"/>
      <c r="E67" s="17"/>
      <c r="F67" s="17"/>
    </row>
    <row r="68" customFormat="false" ht="15" hidden="false" customHeight="true" outlineLevel="0" collapsed="false">
      <c r="A68" s="17" t="n">
        <v>67</v>
      </c>
      <c r="B68" s="19"/>
      <c r="C68" s="17"/>
      <c r="D68" s="17"/>
      <c r="E68" s="17"/>
      <c r="F68" s="17"/>
    </row>
    <row r="69" customFormat="false" ht="15" hidden="false" customHeight="true" outlineLevel="0" collapsed="false">
      <c r="A69" s="17" t="n">
        <v>68</v>
      </c>
      <c r="B69" s="19"/>
      <c r="C69" s="17"/>
      <c r="D69" s="17"/>
      <c r="E69" s="17"/>
      <c r="F69" s="17"/>
    </row>
    <row r="70" customFormat="false" ht="15" hidden="false" customHeight="true" outlineLevel="0" collapsed="false">
      <c r="A70" s="17" t="n">
        <v>69</v>
      </c>
      <c r="B70" s="19"/>
      <c r="C70" s="17"/>
      <c r="D70" s="17"/>
      <c r="E70" s="17"/>
      <c r="F70" s="17"/>
    </row>
    <row r="71" customFormat="false" ht="15" hidden="false" customHeight="true" outlineLevel="0" collapsed="false">
      <c r="A71" s="17" t="n">
        <v>70</v>
      </c>
      <c r="B71" s="19"/>
      <c r="C71" s="17"/>
      <c r="D71" s="17"/>
      <c r="E71" s="17"/>
      <c r="F71" s="17"/>
    </row>
    <row r="72" customFormat="false" ht="15" hidden="false" customHeight="true" outlineLevel="0" collapsed="false">
      <c r="A72" s="17" t="n">
        <v>71</v>
      </c>
      <c r="B72" s="19"/>
      <c r="C72" s="17"/>
      <c r="D72" s="17"/>
      <c r="E72" s="17"/>
      <c r="F72" s="17"/>
    </row>
    <row r="73" customFormat="false" ht="15" hidden="false" customHeight="true" outlineLevel="0" collapsed="false">
      <c r="A73" s="17" t="n">
        <v>72</v>
      </c>
      <c r="B73" s="19"/>
      <c r="C73" s="17"/>
      <c r="D73" s="17"/>
      <c r="E73" s="17"/>
      <c r="F73" s="17"/>
    </row>
    <row r="74" customFormat="false" ht="15" hidden="false" customHeight="true" outlineLevel="0" collapsed="false">
      <c r="A74" s="17" t="n">
        <v>73</v>
      </c>
      <c r="B74" s="19"/>
      <c r="C74" s="17"/>
      <c r="D74" s="17"/>
      <c r="E74" s="17"/>
      <c r="F74" s="17"/>
    </row>
    <row r="75" customFormat="false" ht="15" hidden="false" customHeight="true" outlineLevel="0" collapsed="false">
      <c r="A75" s="17" t="n">
        <v>74</v>
      </c>
      <c r="B75" s="19"/>
      <c r="C75" s="17"/>
      <c r="D75" s="17"/>
      <c r="E75" s="17"/>
      <c r="F75" s="17"/>
    </row>
    <row r="76" customFormat="false" ht="15" hidden="false" customHeight="true" outlineLevel="0" collapsed="false">
      <c r="A76" s="17" t="n">
        <v>75</v>
      </c>
      <c r="B76" s="19"/>
      <c r="C76" s="17"/>
      <c r="D76" s="17"/>
      <c r="E76" s="17"/>
      <c r="F76" s="17"/>
    </row>
    <row r="77" customFormat="false" ht="15" hidden="false" customHeight="true" outlineLevel="0" collapsed="false">
      <c r="A77" s="17" t="n">
        <v>76</v>
      </c>
      <c r="B77" s="19"/>
      <c r="C77" s="17"/>
      <c r="D77" s="17"/>
      <c r="E77" s="17"/>
      <c r="F77" s="17"/>
    </row>
    <row r="78" customFormat="false" ht="15" hidden="false" customHeight="true" outlineLevel="0" collapsed="false">
      <c r="A78" s="17" t="n">
        <v>77</v>
      </c>
      <c r="B78" s="19"/>
      <c r="C78" s="17"/>
      <c r="D78" s="17"/>
      <c r="E78" s="17"/>
      <c r="F78" s="17"/>
    </row>
    <row r="79" customFormat="false" ht="15" hidden="false" customHeight="true" outlineLevel="0" collapsed="false">
      <c r="A79" s="17" t="n">
        <v>78</v>
      </c>
      <c r="B79" s="19"/>
      <c r="C79" s="17"/>
      <c r="D79" s="17"/>
      <c r="E79" s="17"/>
      <c r="F79" s="17"/>
    </row>
    <row r="80" customFormat="false" ht="15" hidden="false" customHeight="true" outlineLevel="0" collapsed="false">
      <c r="A80" s="17" t="n">
        <v>79</v>
      </c>
      <c r="B80" s="19"/>
      <c r="C80" s="17"/>
      <c r="D80" s="17"/>
      <c r="E80" s="17"/>
      <c r="F80" s="17"/>
    </row>
    <row r="81" customFormat="false" ht="15" hidden="false" customHeight="true" outlineLevel="0" collapsed="false">
      <c r="A81" s="17" t="n">
        <v>80</v>
      </c>
      <c r="B81" s="19"/>
      <c r="C81" s="17"/>
      <c r="D81" s="17"/>
      <c r="E81" s="17"/>
      <c r="F81" s="17"/>
    </row>
    <row r="82" customFormat="false" ht="15" hidden="false" customHeight="true" outlineLevel="0" collapsed="false">
      <c r="A82" s="17" t="n">
        <v>81</v>
      </c>
      <c r="B82" s="19"/>
      <c r="C82" s="17"/>
      <c r="D82" s="17"/>
      <c r="E82" s="17"/>
      <c r="F82" s="17"/>
    </row>
    <row r="83" customFormat="false" ht="15" hidden="false" customHeight="true" outlineLevel="0" collapsed="false">
      <c r="A83" s="17" t="n">
        <v>82</v>
      </c>
      <c r="B83" s="19"/>
      <c r="C83" s="17"/>
      <c r="D83" s="17"/>
      <c r="E83" s="17"/>
      <c r="F83" s="17"/>
    </row>
    <row r="84" customFormat="false" ht="15" hidden="false" customHeight="true" outlineLevel="0" collapsed="false">
      <c r="A84" s="17" t="n">
        <v>83</v>
      </c>
      <c r="B84" s="19"/>
      <c r="C84" s="17"/>
      <c r="D84" s="17"/>
      <c r="E84" s="17"/>
      <c r="F84" s="17"/>
    </row>
    <row r="85" customFormat="false" ht="15" hidden="false" customHeight="true" outlineLevel="0" collapsed="false">
      <c r="A85" s="17" t="n">
        <v>84</v>
      </c>
      <c r="B85" s="19"/>
      <c r="C85" s="17"/>
      <c r="D85" s="17"/>
      <c r="E85" s="17"/>
      <c r="F85" s="17"/>
    </row>
    <row r="86" customFormat="false" ht="15" hidden="false" customHeight="true" outlineLevel="0" collapsed="false">
      <c r="A86" s="17" t="n">
        <v>85</v>
      </c>
      <c r="B86" s="19"/>
      <c r="C86" s="17"/>
      <c r="D86" s="17"/>
      <c r="E86" s="17"/>
      <c r="F86" s="17"/>
    </row>
    <row r="87" customFormat="false" ht="15" hidden="false" customHeight="true" outlineLevel="0" collapsed="false">
      <c r="A87" s="17" t="n">
        <v>86</v>
      </c>
      <c r="B87" s="19"/>
      <c r="C87" s="17"/>
      <c r="D87" s="17"/>
      <c r="E87" s="17"/>
      <c r="F87" s="17"/>
    </row>
    <row r="88" customFormat="false" ht="15" hidden="false" customHeight="true" outlineLevel="0" collapsed="false">
      <c r="A88" s="17" t="n">
        <v>87</v>
      </c>
      <c r="B88" s="19"/>
      <c r="C88" s="17"/>
      <c r="D88" s="17"/>
      <c r="E88" s="17"/>
      <c r="F88" s="17"/>
    </row>
    <row r="89" customFormat="false" ht="15" hidden="false" customHeight="true" outlineLevel="0" collapsed="false">
      <c r="A89" s="17" t="n">
        <v>88</v>
      </c>
      <c r="B89" s="19"/>
      <c r="C89" s="17"/>
      <c r="D89" s="17"/>
      <c r="E89" s="17"/>
      <c r="F89" s="17"/>
    </row>
    <row r="90" customFormat="false" ht="15" hidden="false" customHeight="true" outlineLevel="0" collapsed="false">
      <c r="A90" s="17" t="n">
        <v>89</v>
      </c>
      <c r="B90" s="19"/>
      <c r="C90" s="17"/>
      <c r="D90" s="17"/>
      <c r="E90" s="17"/>
      <c r="F90" s="17"/>
    </row>
    <row r="91" customFormat="false" ht="15" hidden="false" customHeight="true" outlineLevel="0" collapsed="false">
      <c r="A91" s="17" t="n">
        <v>90</v>
      </c>
      <c r="B91" s="19"/>
      <c r="C91" s="17"/>
      <c r="D91" s="17"/>
      <c r="E91" s="17"/>
      <c r="F91" s="17"/>
    </row>
    <row r="92" customFormat="false" ht="15" hidden="false" customHeight="true" outlineLevel="0" collapsed="false">
      <c r="A92" s="17" t="n">
        <v>91</v>
      </c>
      <c r="B92" s="19"/>
      <c r="C92" s="17"/>
      <c r="D92" s="17"/>
      <c r="E92" s="17"/>
      <c r="F92" s="17"/>
    </row>
    <row r="93" customFormat="false" ht="15" hidden="false" customHeight="true" outlineLevel="0" collapsed="false">
      <c r="A93" s="17" t="n">
        <v>92</v>
      </c>
      <c r="B93" s="19"/>
      <c r="C93" s="17"/>
      <c r="D93" s="17"/>
      <c r="E93" s="17"/>
      <c r="F93" s="17"/>
    </row>
    <row r="94" customFormat="false" ht="15" hidden="false" customHeight="true" outlineLevel="0" collapsed="false">
      <c r="A94" s="17" t="n">
        <v>93</v>
      </c>
      <c r="B94" s="19"/>
      <c r="C94" s="17"/>
      <c r="D94" s="17"/>
      <c r="E94" s="17"/>
      <c r="F94" s="17"/>
    </row>
    <row r="95" customFormat="false" ht="15" hidden="false" customHeight="true" outlineLevel="0" collapsed="false">
      <c r="A95" s="17" t="n">
        <v>94</v>
      </c>
      <c r="B95" s="19"/>
      <c r="C95" s="17"/>
      <c r="D95" s="17"/>
      <c r="E95" s="17"/>
      <c r="F95" s="17"/>
    </row>
    <row r="96" customFormat="false" ht="15" hidden="false" customHeight="true" outlineLevel="0" collapsed="false">
      <c r="A96" s="17" t="n">
        <v>95</v>
      </c>
      <c r="B96" s="19"/>
      <c r="C96" s="17"/>
      <c r="D96" s="17"/>
      <c r="E96" s="17"/>
      <c r="F96" s="17"/>
    </row>
    <row r="97" customFormat="false" ht="15" hidden="false" customHeight="true" outlineLevel="0" collapsed="false">
      <c r="A97" s="17" t="n">
        <v>96</v>
      </c>
      <c r="B97" s="19"/>
      <c r="C97" s="17"/>
      <c r="D97" s="17"/>
      <c r="E97" s="17"/>
      <c r="F97" s="17"/>
    </row>
    <row r="98" customFormat="false" ht="15" hidden="false" customHeight="true" outlineLevel="0" collapsed="false">
      <c r="A98" s="17" t="n">
        <v>97</v>
      </c>
      <c r="B98" s="19"/>
      <c r="C98" s="17"/>
      <c r="D98" s="17"/>
      <c r="E98" s="17"/>
      <c r="F98" s="17"/>
    </row>
    <row r="99" customFormat="false" ht="15" hidden="false" customHeight="true" outlineLevel="0" collapsed="false">
      <c r="A99" s="17" t="n">
        <v>98</v>
      </c>
      <c r="B99" s="19"/>
      <c r="C99" s="17"/>
      <c r="D99" s="17"/>
      <c r="E99" s="17"/>
      <c r="F99" s="17"/>
    </row>
    <row r="100" customFormat="false" ht="15" hidden="false" customHeight="true" outlineLevel="0" collapsed="false">
      <c r="A100" s="17" t="n">
        <v>99</v>
      </c>
      <c r="B100" s="19"/>
      <c r="C100" s="17"/>
      <c r="D100" s="17"/>
      <c r="E100" s="17"/>
      <c r="F100" s="17"/>
    </row>
    <row r="101" customFormat="false" ht="15" hidden="false" customHeight="true" outlineLevel="0" collapsed="false">
      <c r="A101" s="17" t="n">
        <v>100</v>
      </c>
      <c r="B101" s="19"/>
      <c r="C101" s="17"/>
      <c r="D101" s="17"/>
      <c r="E101" s="17"/>
      <c r="F101" s="17"/>
    </row>
    <row r="102" customFormat="false" ht="15" hidden="false" customHeight="true" outlineLevel="0" collapsed="false">
      <c r="A102" s="17" t="n">
        <v>101</v>
      </c>
      <c r="B102" s="19"/>
      <c r="C102" s="17"/>
      <c r="D102" s="17"/>
      <c r="E102" s="17"/>
      <c r="F102" s="17"/>
    </row>
    <row r="103" customFormat="false" ht="15" hidden="false" customHeight="true" outlineLevel="0" collapsed="false">
      <c r="A103" s="17" t="n">
        <v>102</v>
      </c>
      <c r="B103" s="19"/>
      <c r="C103" s="17"/>
      <c r="D103" s="17"/>
      <c r="E103" s="17"/>
      <c r="F103" s="17"/>
    </row>
    <row r="104" customFormat="false" ht="15" hidden="false" customHeight="true" outlineLevel="0" collapsed="false">
      <c r="A104" s="17" t="n">
        <v>103</v>
      </c>
      <c r="B104" s="19"/>
      <c r="C104" s="17"/>
      <c r="D104" s="17"/>
      <c r="E104" s="17"/>
      <c r="F104" s="17"/>
    </row>
    <row r="105" customFormat="false" ht="15" hidden="false" customHeight="true" outlineLevel="0" collapsed="false">
      <c r="A105" s="17" t="n">
        <v>104</v>
      </c>
      <c r="B105" s="19"/>
      <c r="C105" s="17"/>
      <c r="D105" s="17"/>
      <c r="E105" s="17"/>
      <c r="F105" s="17"/>
    </row>
    <row r="106" customFormat="false" ht="15" hidden="false" customHeight="true" outlineLevel="0" collapsed="false">
      <c r="A106" s="17" t="n">
        <v>105</v>
      </c>
      <c r="B106" s="19"/>
      <c r="C106" s="17"/>
      <c r="D106" s="17"/>
      <c r="E106" s="17"/>
      <c r="F106" s="17"/>
    </row>
    <row r="107" customFormat="false" ht="15" hidden="false" customHeight="true" outlineLevel="0" collapsed="false">
      <c r="A107" s="17" t="n">
        <v>106</v>
      </c>
      <c r="B107" s="19"/>
      <c r="C107" s="17"/>
      <c r="D107" s="17"/>
      <c r="E107" s="17"/>
      <c r="F107" s="17"/>
    </row>
    <row r="108" customFormat="false" ht="15" hidden="false" customHeight="true" outlineLevel="0" collapsed="false">
      <c r="A108" s="17" t="n">
        <v>107</v>
      </c>
      <c r="B108" s="19"/>
      <c r="C108" s="17"/>
      <c r="D108" s="17"/>
      <c r="E108" s="17"/>
      <c r="F108" s="17"/>
    </row>
    <row r="109" customFormat="false" ht="15" hidden="false" customHeight="true" outlineLevel="0" collapsed="false">
      <c r="A109" s="17" t="n">
        <v>108</v>
      </c>
      <c r="B109" s="19"/>
      <c r="C109" s="17"/>
      <c r="D109" s="17"/>
      <c r="E109" s="17"/>
      <c r="F109" s="17"/>
    </row>
    <row r="110" customFormat="false" ht="15" hidden="false" customHeight="true" outlineLevel="0" collapsed="false">
      <c r="A110" s="17" t="n">
        <v>109</v>
      </c>
      <c r="B110" s="19"/>
      <c r="C110" s="17"/>
      <c r="D110" s="17"/>
      <c r="E110" s="17"/>
      <c r="F110" s="17"/>
    </row>
    <row r="111" customFormat="false" ht="15" hidden="false" customHeight="true" outlineLevel="0" collapsed="false">
      <c r="A111" s="17" t="n">
        <v>110</v>
      </c>
      <c r="B111" s="19"/>
      <c r="C111" s="17"/>
      <c r="D111" s="17"/>
      <c r="E111" s="17"/>
      <c r="F111" s="17"/>
    </row>
    <row r="112" customFormat="false" ht="15" hidden="false" customHeight="true" outlineLevel="0" collapsed="false">
      <c r="A112" s="17" t="n">
        <v>111</v>
      </c>
      <c r="B112" s="19"/>
      <c r="C112" s="17"/>
      <c r="D112" s="17"/>
      <c r="E112" s="17"/>
      <c r="F112" s="17"/>
    </row>
    <row r="113" customFormat="false" ht="15" hidden="false" customHeight="true" outlineLevel="0" collapsed="false">
      <c r="A113" s="17" t="n">
        <v>112</v>
      </c>
      <c r="B113" s="19"/>
      <c r="C113" s="17"/>
      <c r="D113" s="17"/>
      <c r="E113" s="17"/>
      <c r="F113" s="17"/>
    </row>
    <row r="114" customFormat="false" ht="15" hidden="false" customHeight="true" outlineLevel="0" collapsed="false">
      <c r="A114" s="17" t="n">
        <v>113</v>
      </c>
      <c r="B114" s="19"/>
      <c r="C114" s="17"/>
      <c r="D114" s="17"/>
      <c r="E114" s="17"/>
      <c r="F114" s="17"/>
    </row>
    <row r="115" customFormat="false" ht="15" hidden="false" customHeight="true" outlineLevel="0" collapsed="false">
      <c r="A115" s="17" t="n">
        <v>114</v>
      </c>
      <c r="B115" s="19"/>
      <c r="C115" s="17"/>
      <c r="D115" s="17"/>
      <c r="E115" s="17"/>
      <c r="F115" s="17"/>
    </row>
    <row r="116" customFormat="false" ht="15" hidden="false" customHeight="true" outlineLevel="0" collapsed="false">
      <c r="A116" s="17" t="n">
        <v>115</v>
      </c>
      <c r="B116" s="19"/>
      <c r="C116" s="17"/>
      <c r="D116" s="17"/>
      <c r="E116" s="17"/>
      <c r="F116" s="17"/>
    </row>
    <row r="117" customFormat="false" ht="15" hidden="false" customHeight="true" outlineLevel="0" collapsed="false">
      <c r="A117" s="17" t="n">
        <v>116</v>
      </c>
      <c r="B117" s="19"/>
      <c r="C117" s="17"/>
      <c r="D117" s="17"/>
      <c r="E117" s="17"/>
      <c r="F117" s="17"/>
    </row>
    <row r="118" customFormat="false" ht="15" hidden="false" customHeight="true" outlineLevel="0" collapsed="false">
      <c r="A118" s="17" t="n">
        <v>117</v>
      </c>
      <c r="B118" s="19"/>
      <c r="C118" s="17"/>
      <c r="D118" s="17"/>
      <c r="E118" s="17"/>
      <c r="F118" s="17"/>
    </row>
    <row r="119" customFormat="false" ht="15" hidden="false" customHeight="true" outlineLevel="0" collapsed="false">
      <c r="A119" s="17" t="n">
        <v>118</v>
      </c>
      <c r="B119" s="19"/>
      <c r="C119" s="17"/>
      <c r="D119" s="17"/>
      <c r="E119" s="17"/>
      <c r="F119" s="17"/>
    </row>
    <row r="120" customFormat="false" ht="15" hidden="false" customHeight="true" outlineLevel="0" collapsed="false">
      <c r="A120" s="17" t="n">
        <v>119</v>
      </c>
      <c r="B120" s="19"/>
      <c r="C120" s="17"/>
      <c r="D120" s="17"/>
      <c r="E120" s="17"/>
      <c r="F120" s="17"/>
    </row>
    <row r="121" customFormat="false" ht="15" hidden="false" customHeight="true" outlineLevel="0" collapsed="false">
      <c r="A121" s="17" t="n">
        <v>120</v>
      </c>
      <c r="B121" s="19"/>
      <c r="C121" s="17"/>
      <c r="D121" s="17"/>
      <c r="E121" s="17"/>
      <c r="F121" s="17"/>
    </row>
    <row r="122" customFormat="false" ht="15" hidden="false" customHeight="true" outlineLevel="0" collapsed="false">
      <c r="A122" s="17" t="n">
        <v>121</v>
      </c>
      <c r="B122" s="19"/>
      <c r="C122" s="17"/>
      <c r="D122" s="17"/>
      <c r="E122" s="17"/>
      <c r="F122" s="17"/>
    </row>
    <row r="123" customFormat="false" ht="15" hidden="false" customHeight="true" outlineLevel="0" collapsed="false">
      <c r="A123" s="17" t="n">
        <v>122</v>
      </c>
      <c r="B123" s="19"/>
      <c r="C123" s="17"/>
      <c r="D123" s="17"/>
      <c r="E123" s="17"/>
      <c r="F123" s="17"/>
    </row>
    <row r="124" customFormat="false" ht="15" hidden="false" customHeight="true" outlineLevel="0" collapsed="false">
      <c r="A124" s="17" t="n">
        <v>123</v>
      </c>
      <c r="B124" s="19"/>
      <c r="C124" s="17"/>
      <c r="D124" s="17"/>
      <c r="E124" s="17"/>
      <c r="F124" s="17"/>
    </row>
    <row r="125" customFormat="false" ht="15" hidden="false" customHeight="true" outlineLevel="0" collapsed="false">
      <c r="A125" s="17" t="n">
        <v>124</v>
      </c>
      <c r="B125" s="19"/>
      <c r="C125" s="17"/>
      <c r="D125" s="17"/>
      <c r="E125" s="17"/>
      <c r="F125" s="17"/>
    </row>
    <row r="126" customFormat="false" ht="15" hidden="false" customHeight="true" outlineLevel="0" collapsed="false">
      <c r="A126" s="17" t="n">
        <v>125</v>
      </c>
      <c r="B126" s="19"/>
      <c r="C126" s="17"/>
      <c r="D126" s="17"/>
      <c r="E126" s="17"/>
      <c r="F126" s="17"/>
    </row>
    <row r="127" customFormat="false" ht="15" hidden="false" customHeight="true" outlineLevel="0" collapsed="false">
      <c r="A127" s="17" t="n">
        <v>126</v>
      </c>
      <c r="B127" s="19"/>
      <c r="C127" s="17"/>
      <c r="D127" s="17"/>
      <c r="E127" s="17"/>
      <c r="F127" s="17"/>
    </row>
    <row r="128" customFormat="false" ht="15" hidden="false" customHeight="true" outlineLevel="0" collapsed="false">
      <c r="A128" s="17" t="n">
        <v>127</v>
      </c>
      <c r="B128" s="19"/>
      <c r="C128" s="17"/>
      <c r="D128" s="17"/>
      <c r="E128" s="17"/>
      <c r="F128" s="17"/>
    </row>
    <row r="129" customFormat="false" ht="15" hidden="false" customHeight="true" outlineLevel="0" collapsed="false">
      <c r="A129" s="17" t="n">
        <v>128</v>
      </c>
      <c r="B129" s="19"/>
      <c r="C129" s="17"/>
      <c r="D129" s="17"/>
      <c r="E129" s="17"/>
      <c r="F129" s="17"/>
    </row>
    <row r="130" customFormat="false" ht="15" hidden="false" customHeight="true" outlineLevel="0" collapsed="false">
      <c r="A130" s="17" t="n">
        <v>129</v>
      </c>
      <c r="B130" s="19"/>
      <c r="C130" s="17"/>
      <c r="D130" s="17"/>
      <c r="E130" s="17"/>
      <c r="F130" s="17"/>
    </row>
    <row r="131" customFormat="false" ht="15" hidden="false" customHeight="true" outlineLevel="0" collapsed="false">
      <c r="A131" s="17" t="n">
        <v>130</v>
      </c>
      <c r="B131" s="19"/>
      <c r="C131" s="17"/>
      <c r="D131" s="17"/>
      <c r="E131" s="17"/>
      <c r="F131" s="17"/>
    </row>
    <row r="132" customFormat="false" ht="15" hidden="false" customHeight="true" outlineLevel="0" collapsed="false">
      <c r="A132" s="17" t="n">
        <v>131</v>
      </c>
      <c r="B132" s="19"/>
      <c r="C132" s="17"/>
      <c r="D132" s="17"/>
      <c r="E132" s="17"/>
      <c r="F132" s="17"/>
    </row>
    <row r="133" customFormat="false" ht="15" hidden="false" customHeight="true" outlineLevel="0" collapsed="false">
      <c r="A133" s="17" t="n">
        <v>132</v>
      </c>
      <c r="B133" s="19"/>
      <c r="C133" s="17"/>
      <c r="D133" s="17"/>
      <c r="E133" s="17"/>
      <c r="F133" s="17"/>
    </row>
    <row r="134" customFormat="false" ht="15" hidden="false" customHeight="true" outlineLevel="0" collapsed="false">
      <c r="A134" s="17" t="n">
        <v>133</v>
      </c>
      <c r="B134" s="19"/>
      <c r="C134" s="17"/>
      <c r="D134" s="17"/>
      <c r="E134" s="17"/>
      <c r="F134" s="17"/>
    </row>
    <row r="135" customFormat="false" ht="15" hidden="false" customHeight="true" outlineLevel="0" collapsed="false">
      <c r="A135" s="17" t="n">
        <v>134</v>
      </c>
      <c r="B135" s="19"/>
      <c r="C135" s="17"/>
      <c r="D135" s="17"/>
      <c r="E135" s="17"/>
      <c r="F135" s="17"/>
    </row>
    <row r="136" customFormat="false" ht="15" hidden="false" customHeight="true" outlineLevel="0" collapsed="false">
      <c r="A136" s="17" t="n">
        <v>135</v>
      </c>
      <c r="B136" s="19"/>
      <c r="C136" s="17"/>
      <c r="D136" s="17"/>
      <c r="E136" s="17"/>
      <c r="F136" s="17"/>
    </row>
    <row r="137" customFormat="false" ht="15" hidden="false" customHeight="true" outlineLevel="0" collapsed="false">
      <c r="A137" s="17" t="n">
        <v>136</v>
      </c>
      <c r="B137" s="19"/>
      <c r="C137" s="17"/>
      <c r="D137" s="17"/>
      <c r="E137" s="17"/>
      <c r="F137" s="17"/>
    </row>
    <row r="138" customFormat="false" ht="15" hidden="false" customHeight="true" outlineLevel="0" collapsed="false">
      <c r="A138" s="17" t="n">
        <v>137</v>
      </c>
      <c r="B138" s="19"/>
      <c r="C138" s="17"/>
      <c r="D138" s="17"/>
      <c r="E138" s="17"/>
      <c r="F138" s="17"/>
    </row>
    <row r="139" customFormat="false" ht="15" hidden="false" customHeight="true" outlineLevel="0" collapsed="false">
      <c r="A139" s="17" t="n">
        <v>138</v>
      </c>
      <c r="B139" s="19"/>
      <c r="C139" s="17"/>
      <c r="D139" s="17"/>
      <c r="E139" s="17"/>
      <c r="F139" s="17"/>
    </row>
    <row r="140" customFormat="false" ht="15" hidden="false" customHeight="true" outlineLevel="0" collapsed="false">
      <c r="A140" s="17" t="n">
        <v>139</v>
      </c>
      <c r="B140" s="19"/>
      <c r="C140" s="17"/>
      <c r="D140" s="17"/>
      <c r="E140" s="17"/>
      <c r="F140" s="17"/>
    </row>
    <row r="141" customFormat="false" ht="15" hidden="false" customHeight="true" outlineLevel="0" collapsed="false">
      <c r="A141" s="17" t="n">
        <v>140</v>
      </c>
      <c r="B141" s="19"/>
      <c r="C141" s="17"/>
      <c r="D141" s="17"/>
      <c r="E141" s="17"/>
      <c r="F141" s="17"/>
    </row>
    <row r="142" customFormat="false" ht="15" hidden="false" customHeight="true" outlineLevel="0" collapsed="false">
      <c r="A142" s="17" t="n">
        <v>141</v>
      </c>
      <c r="B142" s="19"/>
      <c r="C142" s="17"/>
      <c r="D142" s="17"/>
      <c r="E142" s="17"/>
      <c r="F142" s="17"/>
    </row>
    <row r="143" customFormat="false" ht="15" hidden="false" customHeight="true" outlineLevel="0" collapsed="false">
      <c r="A143" s="17" t="n">
        <v>142</v>
      </c>
      <c r="B143" s="19"/>
      <c r="C143" s="17"/>
      <c r="D143" s="17"/>
      <c r="E143" s="17"/>
      <c r="F143" s="17"/>
    </row>
    <row r="144" customFormat="false" ht="15" hidden="false" customHeight="true" outlineLevel="0" collapsed="false">
      <c r="A144" s="17" t="n">
        <v>143</v>
      </c>
      <c r="B144" s="19"/>
      <c r="C144" s="17"/>
      <c r="D144" s="17"/>
      <c r="E144" s="17"/>
      <c r="F144" s="17"/>
    </row>
    <row r="145" customFormat="false" ht="15" hidden="false" customHeight="true" outlineLevel="0" collapsed="false">
      <c r="A145" s="17" t="n">
        <v>144</v>
      </c>
      <c r="B145" s="19"/>
      <c r="C145" s="17"/>
      <c r="D145" s="17"/>
      <c r="E145" s="17"/>
      <c r="F145" s="17"/>
    </row>
    <row r="146" customFormat="false" ht="15" hidden="false" customHeight="true" outlineLevel="0" collapsed="false">
      <c r="A146" s="17" t="n">
        <v>145</v>
      </c>
      <c r="B146" s="19"/>
      <c r="C146" s="17"/>
      <c r="D146" s="17"/>
      <c r="E146" s="17"/>
      <c r="F146" s="17"/>
    </row>
    <row r="147" customFormat="false" ht="15" hidden="false" customHeight="true" outlineLevel="0" collapsed="false">
      <c r="A147" s="17" t="n">
        <v>146</v>
      </c>
      <c r="B147" s="19"/>
      <c r="C147" s="17"/>
      <c r="D147" s="17"/>
      <c r="E147" s="17"/>
      <c r="F147" s="17"/>
    </row>
    <row r="148" customFormat="false" ht="15" hidden="false" customHeight="true" outlineLevel="0" collapsed="false">
      <c r="A148" s="17" t="n">
        <v>147</v>
      </c>
      <c r="B148" s="19"/>
      <c r="C148" s="17"/>
      <c r="D148" s="17"/>
      <c r="E148" s="17"/>
      <c r="F148" s="17"/>
    </row>
    <row r="149" customFormat="false" ht="15" hidden="false" customHeight="true" outlineLevel="0" collapsed="false">
      <c r="A149" s="17" t="n">
        <v>148</v>
      </c>
      <c r="B149" s="19"/>
      <c r="C149" s="17"/>
      <c r="D149" s="17"/>
      <c r="E149" s="17"/>
      <c r="F149" s="17"/>
    </row>
    <row r="150" customFormat="false" ht="15" hidden="false" customHeight="true" outlineLevel="0" collapsed="false">
      <c r="A150" s="17" t="n">
        <v>149</v>
      </c>
      <c r="B150" s="19"/>
      <c r="C150" s="17"/>
      <c r="D150" s="17"/>
      <c r="E150" s="17"/>
      <c r="F150" s="17"/>
    </row>
    <row r="151" customFormat="false" ht="15" hidden="false" customHeight="true" outlineLevel="0" collapsed="false">
      <c r="A151" s="17" t="n">
        <v>150</v>
      </c>
      <c r="B151" s="19"/>
      <c r="C151" s="17"/>
      <c r="D151" s="17"/>
      <c r="E151" s="17"/>
      <c r="F151" s="17"/>
    </row>
    <row r="152" customFormat="false" ht="15" hidden="false" customHeight="true" outlineLevel="0" collapsed="false">
      <c r="A152" s="17" t="n">
        <v>151</v>
      </c>
      <c r="B152" s="19"/>
      <c r="C152" s="17"/>
      <c r="D152" s="17"/>
      <c r="E152" s="17"/>
      <c r="F152" s="17"/>
    </row>
    <row r="153" customFormat="false" ht="15" hidden="false" customHeight="true" outlineLevel="0" collapsed="false">
      <c r="A153" s="17" t="n">
        <v>152</v>
      </c>
      <c r="B153" s="19"/>
      <c r="C153" s="17"/>
      <c r="D153" s="17"/>
      <c r="E153" s="17"/>
      <c r="F153" s="17"/>
    </row>
    <row r="154" customFormat="false" ht="15" hidden="false" customHeight="true" outlineLevel="0" collapsed="false">
      <c r="A154" s="17" t="n">
        <v>153</v>
      </c>
      <c r="B154" s="19"/>
      <c r="C154" s="17"/>
      <c r="D154" s="17"/>
      <c r="E154" s="17"/>
      <c r="F154" s="17"/>
    </row>
    <row r="155" customFormat="false" ht="15" hidden="false" customHeight="true" outlineLevel="0" collapsed="false">
      <c r="A155" s="17" t="n">
        <v>154</v>
      </c>
      <c r="B155" s="19"/>
      <c r="C155" s="17"/>
      <c r="D155" s="17"/>
      <c r="E155" s="17"/>
      <c r="F155" s="17"/>
    </row>
    <row r="156" customFormat="false" ht="15" hidden="false" customHeight="true" outlineLevel="0" collapsed="false">
      <c r="A156" s="17" t="n">
        <v>155</v>
      </c>
      <c r="B156" s="19"/>
      <c r="C156" s="17"/>
      <c r="D156" s="17"/>
      <c r="E156" s="17"/>
      <c r="F156" s="17"/>
    </row>
    <row r="157" customFormat="false" ht="15" hidden="false" customHeight="true" outlineLevel="0" collapsed="false">
      <c r="A157" s="17" t="n">
        <v>156</v>
      </c>
      <c r="B157" s="19"/>
      <c r="C157" s="17"/>
      <c r="D157" s="17"/>
      <c r="E157" s="17"/>
      <c r="F157" s="17"/>
    </row>
    <row r="158" customFormat="false" ht="15" hidden="false" customHeight="true" outlineLevel="0" collapsed="false">
      <c r="A158" s="17" t="n">
        <v>157</v>
      </c>
      <c r="B158" s="19"/>
      <c r="C158" s="17"/>
      <c r="D158" s="17"/>
      <c r="E158" s="17"/>
      <c r="F158" s="17"/>
    </row>
    <row r="159" customFormat="false" ht="15" hidden="false" customHeight="true" outlineLevel="0" collapsed="false">
      <c r="A159" s="17" t="n">
        <v>158</v>
      </c>
      <c r="B159" s="19"/>
      <c r="C159" s="17"/>
      <c r="D159" s="17"/>
      <c r="E159" s="17"/>
      <c r="F159" s="17"/>
    </row>
    <row r="160" customFormat="false" ht="15" hidden="false" customHeight="true" outlineLevel="0" collapsed="false">
      <c r="A160" s="17" t="n">
        <v>159</v>
      </c>
      <c r="B160" s="19"/>
      <c r="C160" s="17"/>
      <c r="D160" s="17"/>
      <c r="E160" s="17"/>
      <c r="F160" s="17"/>
    </row>
    <row r="161" customFormat="false" ht="15" hidden="false" customHeight="true" outlineLevel="0" collapsed="false">
      <c r="A161" s="17" t="n">
        <v>160</v>
      </c>
      <c r="B161" s="19"/>
      <c r="C161" s="17"/>
      <c r="D161" s="17"/>
      <c r="E161" s="17"/>
      <c r="F161" s="17"/>
    </row>
    <row r="162" customFormat="false" ht="15" hidden="false" customHeight="true" outlineLevel="0" collapsed="false">
      <c r="A162" s="17" t="n">
        <v>161</v>
      </c>
      <c r="B162" s="19"/>
      <c r="C162" s="17"/>
      <c r="D162" s="17"/>
      <c r="E162" s="17"/>
      <c r="F162" s="17"/>
    </row>
    <row r="163" customFormat="false" ht="15" hidden="false" customHeight="true" outlineLevel="0" collapsed="false">
      <c r="A163" s="17" t="n">
        <v>162</v>
      </c>
      <c r="B163" s="19"/>
      <c r="C163" s="17"/>
      <c r="D163" s="17"/>
      <c r="E163" s="17"/>
      <c r="F163" s="17"/>
    </row>
    <row r="164" customFormat="false" ht="15" hidden="false" customHeight="true" outlineLevel="0" collapsed="false">
      <c r="A164" s="17" t="n">
        <v>163</v>
      </c>
      <c r="B164" s="19"/>
      <c r="C164" s="17"/>
      <c r="D164" s="17"/>
      <c r="E164" s="17"/>
      <c r="F164" s="17"/>
    </row>
    <row r="165" customFormat="false" ht="15" hidden="false" customHeight="true" outlineLevel="0" collapsed="false">
      <c r="A165" s="17" t="n">
        <v>164</v>
      </c>
      <c r="B165" s="19"/>
      <c r="C165" s="17"/>
      <c r="D165" s="17"/>
      <c r="E165" s="17"/>
      <c r="F165" s="17"/>
    </row>
    <row r="166" customFormat="false" ht="15" hidden="false" customHeight="true" outlineLevel="0" collapsed="false">
      <c r="A166" s="17" t="n">
        <v>165</v>
      </c>
      <c r="B166" s="19"/>
      <c r="C166" s="17"/>
      <c r="D166" s="17"/>
      <c r="E166" s="17"/>
      <c r="F166" s="17"/>
    </row>
    <row r="167" customFormat="false" ht="15" hidden="false" customHeight="true" outlineLevel="0" collapsed="false">
      <c r="A167" s="17" t="n">
        <v>166</v>
      </c>
      <c r="B167" s="19"/>
      <c r="C167" s="17"/>
      <c r="D167" s="17"/>
      <c r="E167" s="17"/>
      <c r="F167" s="17"/>
    </row>
    <row r="168" customFormat="false" ht="15" hidden="false" customHeight="true" outlineLevel="0" collapsed="false">
      <c r="A168" s="17" t="n">
        <v>167</v>
      </c>
      <c r="B168" s="19"/>
      <c r="C168" s="17"/>
      <c r="D168" s="17"/>
      <c r="E168" s="17"/>
      <c r="F168" s="17"/>
    </row>
    <row r="169" customFormat="false" ht="15" hidden="false" customHeight="true" outlineLevel="0" collapsed="false">
      <c r="A169" s="17" t="n">
        <v>168</v>
      </c>
      <c r="B169" s="19"/>
      <c r="C169" s="17"/>
      <c r="D169" s="17"/>
      <c r="E169" s="17"/>
      <c r="F169" s="17"/>
    </row>
    <row r="170" customFormat="false" ht="15" hidden="false" customHeight="true" outlineLevel="0" collapsed="false">
      <c r="A170" s="17" t="n">
        <v>169</v>
      </c>
      <c r="B170" s="19"/>
      <c r="C170" s="17"/>
      <c r="D170" s="17"/>
      <c r="E170" s="17"/>
      <c r="F170" s="17"/>
    </row>
    <row r="171" customFormat="false" ht="15" hidden="false" customHeight="true" outlineLevel="0" collapsed="false">
      <c r="A171" s="17" t="n">
        <v>170</v>
      </c>
      <c r="B171" s="19"/>
      <c r="C171" s="17"/>
      <c r="D171" s="17"/>
      <c r="E171" s="17"/>
      <c r="F171" s="17"/>
    </row>
    <row r="172" customFormat="false" ht="15" hidden="false" customHeight="true" outlineLevel="0" collapsed="false">
      <c r="A172" s="17" t="n">
        <v>171</v>
      </c>
      <c r="B172" s="19"/>
      <c r="C172" s="17"/>
      <c r="D172" s="17"/>
      <c r="E172" s="17"/>
      <c r="F172" s="17"/>
    </row>
    <row r="173" customFormat="false" ht="15" hidden="false" customHeight="true" outlineLevel="0" collapsed="false">
      <c r="A173" s="17" t="n">
        <v>172</v>
      </c>
      <c r="B173" s="19"/>
      <c r="C173" s="17"/>
      <c r="D173" s="17"/>
      <c r="E173" s="17"/>
      <c r="F173" s="17"/>
    </row>
    <row r="174" customFormat="false" ht="15" hidden="false" customHeight="true" outlineLevel="0" collapsed="false">
      <c r="A174" s="17" t="n">
        <v>173</v>
      </c>
      <c r="B174" s="19"/>
      <c r="C174" s="17"/>
      <c r="D174" s="17"/>
      <c r="E174" s="17"/>
      <c r="F174" s="17"/>
    </row>
    <row r="175" customFormat="false" ht="15" hidden="false" customHeight="true" outlineLevel="0" collapsed="false">
      <c r="A175" s="17" t="n">
        <v>174</v>
      </c>
      <c r="B175" s="19"/>
      <c r="C175" s="17"/>
      <c r="D175" s="17"/>
      <c r="E175" s="17"/>
      <c r="F175" s="17"/>
    </row>
    <row r="176" customFormat="false" ht="15" hidden="false" customHeight="true" outlineLevel="0" collapsed="false">
      <c r="A176" s="17" t="n">
        <v>175</v>
      </c>
      <c r="B176" s="19"/>
      <c r="C176" s="17"/>
      <c r="D176" s="17"/>
      <c r="E176" s="17"/>
      <c r="F176" s="17"/>
    </row>
    <row r="177" customFormat="false" ht="15" hidden="false" customHeight="true" outlineLevel="0" collapsed="false">
      <c r="A177" s="17" t="n">
        <v>176</v>
      </c>
      <c r="B177" s="19"/>
      <c r="C177" s="17"/>
      <c r="D177" s="17"/>
      <c r="E177" s="17"/>
      <c r="F177" s="17"/>
    </row>
    <row r="178" customFormat="false" ht="15" hidden="false" customHeight="true" outlineLevel="0" collapsed="false">
      <c r="A178" s="17" t="n">
        <v>177</v>
      </c>
      <c r="B178" s="19"/>
      <c r="C178" s="17"/>
      <c r="D178" s="17"/>
      <c r="E178" s="17"/>
      <c r="F178" s="17"/>
    </row>
    <row r="179" customFormat="false" ht="15" hidden="false" customHeight="true" outlineLevel="0" collapsed="false">
      <c r="A179" s="17" t="n">
        <v>178</v>
      </c>
      <c r="B179" s="19"/>
      <c r="C179" s="17"/>
      <c r="D179" s="17"/>
      <c r="E179" s="17"/>
      <c r="F179" s="17"/>
    </row>
    <row r="180" customFormat="false" ht="15" hidden="false" customHeight="true" outlineLevel="0" collapsed="false">
      <c r="A180" s="17" t="n">
        <v>179</v>
      </c>
      <c r="B180" s="19"/>
      <c r="C180" s="17"/>
      <c r="D180" s="17"/>
      <c r="E180" s="17"/>
      <c r="F180" s="17"/>
    </row>
    <row r="181" customFormat="false" ht="15" hidden="false" customHeight="true" outlineLevel="0" collapsed="false">
      <c r="A181" s="17" t="n">
        <v>180</v>
      </c>
      <c r="B181" s="19"/>
      <c r="C181" s="17"/>
      <c r="D181" s="17"/>
      <c r="E181" s="17"/>
      <c r="F181" s="17"/>
    </row>
    <row r="182" customFormat="false" ht="15" hidden="false" customHeight="true" outlineLevel="0" collapsed="false">
      <c r="A182" s="17" t="n">
        <v>181</v>
      </c>
      <c r="B182" s="19"/>
      <c r="C182" s="17"/>
      <c r="D182" s="17"/>
      <c r="E182" s="17"/>
      <c r="F182" s="17"/>
    </row>
    <row r="183" customFormat="false" ht="15" hidden="false" customHeight="true" outlineLevel="0" collapsed="false">
      <c r="A183" s="17" t="n">
        <v>182</v>
      </c>
      <c r="B183" s="19"/>
      <c r="C183" s="17"/>
      <c r="D183" s="17"/>
      <c r="E183" s="17"/>
      <c r="F183" s="17"/>
    </row>
    <row r="184" customFormat="false" ht="15" hidden="false" customHeight="true" outlineLevel="0" collapsed="false">
      <c r="A184" s="17" t="n">
        <v>183</v>
      </c>
      <c r="B184" s="19"/>
      <c r="C184" s="17"/>
      <c r="D184" s="17"/>
      <c r="E184" s="17"/>
      <c r="F184" s="17"/>
    </row>
    <row r="185" customFormat="false" ht="15" hidden="false" customHeight="true" outlineLevel="0" collapsed="false">
      <c r="A185" s="17" t="n">
        <v>184</v>
      </c>
      <c r="B185" s="19"/>
      <c r="C185" s="17"/>
      <c r="D185" s="17"/>
      <c r="E185" s="17"/>
      <c r="F185" s="17"/>
    </row>
    <row r="186" customFormat="false" ht="15" hidden="false" customHeight="true" outlineLevel="0" collapsed="false">
      <c r="A186" s="17" t="n">
        <v>185</v>
      </c>
      <c r="B186" s="19"/>
      <c r="C186" s="17"/>
      <c r="D186" s="17"/>
      <c r="E186" s="17"/>
      <c r="F186" s="17"/>
    </row>
    <row r="187" customFormat="false" ht="15" hidden="false" customHeight="true" outlineLevel="0" collapsed="false">
      <c r="A187" s="17" t="n">
        <v>186</v>
      </c>
      <c r="B187" s="19"/>
      <c r="C187" s="17"/>
      <c r="D187" s="17"/>
      <c r="E187" s="17"/>
      <c r="F187" s="17"/>
    </row>
    <row r="188" customFormat="false" ht="15" hidden="false" customHeight="true" outlineLevel="0" collapsed="false">
      <c r="A188" s="17" t="n">
        <v>187</v>
      </c>
      <c r="B188" s="19"/>
      <c r="C188" s="17"/>
      <c r="D188" s="17"/>
      <c r="E188" s="17"/>
      <c r="F188" s="17"/>
    </row>
    <row r="189" customFormat="false" ht="15" hidden="false" customHeight="true" outlineLevel="0" collapsed="false">
      <c r="A189" s="17" t="n">
        <v>188</v>
      </c>
      <c r="B189" s="19"/>
      <c r="C189" s="17"/>
      <c r="D189" s="17"/>
      <c r="E189" s="17"/>
      <c r="F189" s="17"/>
    </row>
    <row r="190" customFormat="false" ht="15" hidden="false" customHeight="true" outlineLevel="0" collapsed="false">
      <c r="A190" s="17" t="n">
        <v>189</v>
      </c>
      <c r="B190" s="19"/>
      <c r="C190" s="17"/>
      <c r="D190" s="17"/>
      <c r="E190" s="17"/>
      <c r="F190" s="17"/>
    </row>
    <row r="191" customFormat="false" ht="15" hidden="false" customHeight="true" outlineLevel="0" collapsed="false">
      <c r="A191" s="17" t="n">
        <v>190</v>
      </c>
      <c r="B191" s="19"/>
      <c r="C191" s="17"/>
      <c r="D191" s="17"/>
      <c r="E191" s="17"/>
      <c r="F191" s="17"/>
    </row>
    <row r="192" customFormat="false" ht="15" hidden="false" customHeight="true" outlineLevel="0" collapsed="false">
      <c r="A192" s="17" t="n">
        <v>191</v>
      </c>
      <c r="B192" s="19"/>
      <c r="C192" s="17"/>
      <c r="D192" s="17"/>
      <c r="E192" s="17"/>
      <c r="F192" s="17"/>
    </row>
    <row r="193" customFormat="false" ht="15" hidden="false" customHeight="true" outlineLevel="0" collapsed="false">
      <c r="A193" s="17" t="n">
        <v>192</v>
      </c>
      <c r="B193" s="19"/>
      <c r="C193" s="17"/>
      <c r="D193" s="17"/>
      <c r="E193" s="17"/>
      <c r="F193" s="17"/>
    </row>
    <row r="194" customFormat="false" ht="15" hidden="false" customHeight="true" outlineLevel="0" collapsed="false">
      <c r="A194" s="17" t="n">
        <v>193</v>
      </c>
      <c r="B194" s="19"/>
      <c r="C194" s="17"/>
      <c r="D194" s="17"/>
      <c r="E194" s="17"/>
      <c r="F194" s="17"/>
    </row>
    <row r="195" customFormat="false" ht="15" hidden="false" customHeight="true" outlineLevel="0" collapsed="false">
      <c r="A195" s="17" t="n">
        <v>194</v>
      </c>
      <c r="B195" s="19"/>
      <c r="C195" s="17"/>
      <c r="D195" s="17"/>
      <c r="E195" s="17"/>
      <c r="F195" s="17"/>
    </row>
    <row r="196" customFormat="false" ht="15" hidden="false" customHeight="true" outlineLevel="0" collapsed="false">
      <c r="A196" s="17" t="n">
        <v>195</v>
      </c>
      <c r="B196" s="19"/>
      <c r="C196" s="17"/>
      <c r="D196" s="17"/>
      <c r="E196" s="17"/>
      <c r="F196" s="17"/>
    </row>
    <row r="197" customFormat="false" ht="15" hidden="false" customHeight="true" outlineLevel="0" collapsed="false">
      <c r="A197" s="17" t="n">
        <v>196</v>
      </c>
      <c r="B197" s="19"/>
      <c r="C197" s="17"/>
      <c r="D197" s="17"/>
      <c r="E197" s="17"/>
      <c r="F197" s="17"/>
    </row>
    <row r="198" customFormat="false" ht="15" hidden="false" customHeight="true" outlineLevel="0" collapsed="false">
      <c r="A198" s="17" t="n">
        <v>197</v>
      </c>
      <c r="B198" s="19"/>
      <c r="C198" s="17"/>
      <c r="D198" s="17"/>
      <c r="E198" s="17"/>
      <c r="F198" s="17"/>
    </row>
    <row r="199" customFormat="false" ht="15" hidden="false" customHeight="true" outlineLevel="0" collapsed="false">
      <c r="A199" s="17" t="n">
        <v>198</v>
      </c>
      <c r="B199" s="19"/>
      <c r="C199" s="17"/>
      <c r="D199" s="17"/>
      <c r="E199" s="17"/>
      <c r="F199" s="17"/>
    </row>
  </sheetData>
  <dataValidations count="2">
    <dataValidation allowBlank="true" errorStyle="stop" operator="between" showDropDown="false" showErrorMessage="false" showInputMessage="false" sqref="D2:D200" type="list">
      <formula1>"Walk-in,Follow-up call,Follow-up text,Email,Proposal send,Discovery call,Site build,Delivery,Payment collected"</formula1>
      <formula2>0</formula2>
    </dataValidation>
    <dataValidation allowBlank="true" errorStyle="stop" operator="between" showDropDown="false" showErrorMessage="false" showInputMessage="false" sqref="E2:E200" type="list">
      <formula1>"Owner not there,Pitched - no interest,Pitched - interested,Appt set,Proposal sent,Deposit collected,Launched,Rejected,No show"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90"/>
    <col collapsed="false" customWidth="true" hidden="false" outlineLevel="0" max="3" min="3" style="1" width="20"/>
  </cols>
  <sheetData>
    <row r="1" customFormat="false" ht="17.25" hidden="false" customHeight="true" outlineLevel="0" collapsed="false">
      <c r="A1" s="20" t="s">
        <v>1711</v>
      </c>
      <c r="B1" s="20"/>
      <c r="C1" s="20"/>
    </row>
    <row r="3" customFormat="false" ht="26.25" hidden="false" customHeight="true" outlineLevel="0" collapsed="false">
      <c r="A3" s="21" t="s">
        <v>1712</v>
      </c>
      <c r="B3" s="22" t="s">
        <v>1713</v>
      </c>
    </row>
    <row r="5" customFormat="false" ht="26.25" hidden="false" customHeight="true" outlineLevel="0" collapsed="false">
      <c r="A5" s="21" t="s">
        <v>1714</v>
      </c>
      <c r="B5" s="22" t="s">
        <v>1715</v>
      </c>
    </row>
    <row r="7" customFormat="false" ht="51.75" hidden="false" customHeight="true" outlineLevel="0" collapsed="false">
      <c r="A7" s="21" t="s">
        <v>1716</v>
      </c>
      <c r="B7" s="22" t="s">
        <v>1717</v>
      </c>
    </row>
    <row r="9" customFormat="false" ht="26.25" hidden="false" customHeight="true" outlineLevel="0" collapsed="false">
      <c r="A9" s="21" t="s">
        <v>1718</v>
      </c>
      <c r="B9" s="22" t="s">
        <v>1719</v>
      </c>
    </row>
    <row r="11" customFormat="false" ht="15" hidden="false" customHeight="true" outlineLevel="0" collapsed="false">
      <c r="A11" s="21" t="s">
        <v>1720</v>
      </c>
      <c r="B11" s="22" t="s">
        <v>1721</v>
      </c>
    </row>
    <row r="13" customFormat="false" ht="26.25" hidden="false" customHeight="true" outlineLevel="0" collapsed="false">
      <c r="A13" s="21" t="s">
        <v>1722</v>
      </c>
      <c r="B13" s="22" t="s">
        <v>1723</v>
      </c>
    </row>
    <row r="15" customFormat="false" ht="39" hidden="false" customHeight="true" outlineLevel="0" collapsed="false">
      <c r="A15" s="21" t="s">
        <v>1724</v>
      </c>
      <c r="B15" s="22" t="s">
        <v>1725</v>
      </c>
    </row>
    <row r="17" customFormat="false" ht="26.25" hidden="false" customHeight="true" outlineLevel="0" collapsed="false">
      <c r="A17" s="21" t="s">
        <v>1726</v>
      </c>
      <c r="B17" s="22" t="s">
        <v>1727</v>
      </c>
    </row>
    <row r="19" customFormat="false" ht="39" hidden="false" customHeight="true" outlineLevel="0" collapsed="false">
      <c r="A19" s="21" t="s">
        <v>1728</v>
      </c>
      <c r="B19" s="22" t="s">
        <v>1729</v>
      </c>
    </row>
    <row r="21" customFormat="false" ht="26.25" hidden="false" customHeight="true" outlineLevel="0" collapsed="false">
      <c r="A21" s="21" t="s">
        <v>1730</v>
      </c>
      <c r="B21" s="22" t="s">
        <v>1731</v>
      </c>
    </row>
    <row r="25" customFormat="false" ht="15" hidden="false" customHeight="true" outlineLevel="0" collapsed="false">
      <c r="A25" s="23" t="s">
        <v>1732</v>
      </c>
      <c r="B25" s="23"/>
      <c r="C25" s="23"/>
    </row>
    <row r="26" customFormat="false" ht="15" hidden="false" customHeight="true" outlineLevel="0" collapsed="false">
      <c r="A26" s="24" t="s">
        <v>1733</v>
      </c>
      <c r="B26" s="24"/>
      <c r="C26" s="24"/>
    </row>
    <row r="27" customFormat="false" ht="15" hidden="false" customHeight="true" outlineLevel="0" collapsed="false">
      <c r="A27" s="24" t="s">
        <v>1734</v>
      </c>
      <c r="B27" s="24"/>
      <c r="C27" s="24"/>
    </row>
    <row r="28" customFormat="false" ht="15" hidden="false" customHeight="true" outlineLevel="0" collapsed="false">
      <c r="A28" s="24" t="s">
        <v>1735</v>
      </c>
      <c r="B28" s="24"/>
      <c r="C28" s="24"/>
    </row>
    <row r="29" customFormat="false" ht="15" hidden="false" customHeight="true" outlineLevel="0" collapsed="false">
      <c r="A29" s="24" t="s">
        <v>1736</v>
      </c>
      <c r="B29" s="24"/>
      <c r="C29" s="24"/>
    </row>
    <row r="30" customFormat="false" ht="15" hidden="false" customHeight="true" outlineLevel="0" collapsed="false">
      <c r="A30" s="24" t="s">
        <v>1737</v>
      </c>
      <c r="B30" s="24"/>
      <c r="C30" s="24"/>
    </row>
  </sheetData>
  <mergeCells count="7">
    <mergeCell ref="A1:C1"/>
    <mergeCell ref="A25:C25"/>
    <mergeCell ref="A26:C26"/>
    <mergeCell ref="A27:C27"/>
    <mergeCell ref="A28:C28"/>
    <mergeCell ref="A29:C29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5"/>
    <col collapsed="false" customWidth="true" hidden="false" outlineLevel="0" max="4" min="3" style="1" width="32"/>
  </cols>
  <sheetData>
    <row r="1" customFormat="false" ht="17.25" hidden="false" customHeight="true" outlineLevel="0" collapsed="false">
      <c r="A1" s="20" t="s">
        <v>1738</v>
      </c>
      <c r="B1" s="20"/>
      <c r="C1" s="20"/>
      <c r="D1" s="20"/>
    </row>
    <row r="3" customFormat="false" ht="26.25" hidden="false" customHeight="true" outlineLevel="0" collapsed="false">
      <c r="A3" s="11" t="s">
        <v>1739</v>
      </c>
      <c r="B3" s="11" t="s">
        <v>1740</v>
      </c>
      <c r="C3" s="25" t="s">
        <v>1741</v>
      </c>
      <c r="D3" s="11" t="s">
        <v>1742</v>
      </c>
    </row>
    <row r="4" customFormat="false" ht="15" hidden="false" customHeight="true" outlineLevel="0" collapsed="false">
      <c r="A4" s="26" t="s">
        <v>1743</v>
      </c>
      <c r="B4" s="17" t="s">
        <v>1744</v>
      </c>
      <c r="C4" s="27" t="s">
        <v>1745</v>
      </c>
      <c r="D4" s="17" t="s">
        <v>1746</v>
      </c>
    </row>
    <row r="5" customFormat="false" ht="15" hidden="false" customHeight="true" outlineLevel="0" collapsed="false">
      <c r="A5" s="26" t="s">
        <v>1747</v>
      </c>
      <c r="B5" s="17" t="s">
        <v>1748</v>
      </c>
      <c r="C5" s="27" t="s">
        <v>1748</v>
      </c>
      <c r="D5" s="17" t="s">
        <v>1748</v>
      </c>
    </row>
    <row r="6" customFormat="false" ht="15" hidden="false" customHeight="true" outlineLevel="0" collapsed="false">
      <c r="A6" s="26" t="s">
        <v>1749</v>
      </c>
      <c r="B6" s="17" t="s">
        <v>1750</v>
      </c>
      <c r="C6" s="27" t="s">
        <v>1751</v>
      </c>
      <c r="D6" s="17" t="s">
        <v>1752</v>
      </c>
    </row>
    <row r="7" customFormat="false" ht="15" hidden="false" customHeight="true" outlineLevel="0" collapsed="false">
      <c r="A7" s="26" t="s">
        <v>1753</v>
      </c>
      <c r="B7" s="17" t="s">
        <v>1748</v>
      </c>
      <c r="C7" s="27" t="s">
        <v>1748</v>
      </c>
      <c r="D7" s="17" t="s">
        <v>1748</v>
      </c>
    </row>
    <row r="8" customFormat="false" ht="15" hidden="false" customHeight="true" outlineLevel="0" collapsed="false">
      <c r="A8" s="26" t="s">
        <v>1754</v>
      </c>
      <c r="B8" s="17" t="s">
        <v>1748</v>
      </c>
      <c r="C8" s="27" t="s">
        <v>1748</v>
      </c>
      <c r="D8" s="17" t="s">
        <v>1748</v>
      </c>
    </row>
    <row r="9" customFormat="false" ht="15" hidden="false" customHeight="true" outlineLevel="0" collapsed="false">
      <c r="A9" s="26" t="s">
        <v>1755</v>
      </c>
      <c r="B9" s="17" t="s">
        <v>1748</v>
      </c>
      <c r="C9" s="27" t="s">
        <v>1748</v>
      </c>
      <c r="D9" s="17" t="s">
        <v>1756</v>
      </c>
    </row>
    <row r="10" customFormat="false" ht="15" hidden="false" customHeight="true" outlineLevel="0" collapsed="false">
      <c r="A10" s="26" t="s">
        <v>1757</v>
      </c>
      <c r="B10" s="17" t="s">
        <v>1758</v>
      </c>
      <c r="C10" s="27" t="s">
        <v>1759</v>
      </c>
      <c r="D10" s="17" t="s">
        <v>1760</v>
      </c>
    </row>
    <row r="11" customFormat="false" ht="15" hidden="false" customHeight="true" outlineLevel="0" collapsed="false">
      <c r="A11" s="26" t="s">
        <v>1761</v>
      </c>
      <c r="B11" s="17" t="s">
        <v>1758</v>
      </c>
      <c r="C11" s="27" t="s">
        <v>1748</v>
      </c>
      <c r="D11" s="17" t="s">
        <v>1748</v>
      </c>
    </row>
    <row r="12" customFormat="false" ht="15" hidden="false" customHeight="true" outlineLevel="0" collapsed="false">
      <c r="A12" s="26" t="s">
        <v>1762</v>
      </c>
      <c r="B12" s="17" t="s">
        <v>1758</v>
      </c>
      <c r="C12" s="27" t="s">
        <v>1763</v>
      </c>
      <c r="D12" s="17" t="s">
        <v>1764</v>
      </c>
    </row>
    <row r="13" customFormat="false" ht="26.25" hidden="false" customHeight="true" outlineLevel="0" collapsed="false">
      <c r="A13" s="26" t="s">
        <v>1765</v>
      </c>
      <c r="B13" s="17" t="s">
        <v>1758</v>
      </c>
      <c r="C13" s="27" t="s">
        <v>1748</v>
      </c>
      <c r="D13" s="17" t="s">
        <v>1748</v>
      </c>
    </row>
    <row r="14" customFormat="false" ht="15" hidden="false" customHeight="true" outlineLevel="0" collapsed="false">
      <c r="A14" s="26" t="s">
        <v>1766</v>
      </c>
      <c r="B14" s="17" t="s">
        <v>1758</v>
      </c>
      <c r="C14" s="27" t="s">
        <v>1758</v>
      </c>
      <c r="D14" s="17" t="s">
        <v>1767</v>
      </c>
    </row>
    <row r="15" customFormat="false" ht="26.25" hidden="false" customHeight="true" outlineLevel="0" collapsed="false">
      <c r="A15" s="26" t="s">
        <v>1768</v>
      </c>
      <c r="B15" s="17" t="s">
        <v>1758</v>
      </c>
      <c r="C15" s="27" t="s">
        <v>1758</v>
      </c>
      <c r="D15" s="17" t="s">
        <v>1748</v>
      </c>
    </row>
    <row r="16" customFormat="false" ht="15" hidden="false" customHeight="true" outlineLevel="0" collapsed="false">
      <c r="A16" s="26" t="s">
        <v>1769</v>
      </c>
      <c r="B16" s="17" t="s">
        <v>1770</v>
      </c>
      <c r="C16" s="27" t="s">
        <v>1771</v>
      </c>
      <c r="D16" s="17" t="s">
        <v>1772</v>
      </c>
    </row>
    <row r="17" customFormat="false" ht="15" hidden="false" customHeight="true" outlineLevel="0" collapsed="false">
      <c r="A17" s="26" t="s">
        <v>1773</v>
      </c>
      <c r="B17" s="17" t="s">
        <v>1774</v>
      </c>
      <c r="C17" s="27" t="s">
        <v>1774</v>
      </c>
      <c r="D17" s="17" t="s">
        <v>1774</v>
      </c>
    </row>
    <row r="18" customFormat="false" ht="15" hidden="false" customHeight="true" outlineLevel="0" collapsed="false">
      <c r="A18" s="26" t="s">
        <v>1775</v>
      </c>
      <c r="B18" s="17" t="s">
        <v>1776</v>
      </c>
      <c r="C18" s="27" t="s">
        <v>1776</v>
      </c>
      <c r="D18" s="17" t="s">
        <v>1777</v>
      </c>
    </row>
    <row r="19" customFormat="false" ht="15" hidden="false" customHeight="true" outlineLevel="0" collapsed="false">
      <c r="A19" s="26" t="s">
        <v>1778</v>
      </c>
      <c r="B19" s="17" t="s">
        <v>1779</v>
      </c>
      <c r="C19" s="27" t="s">
        <v>1779</v>
      </c>
      <c r="D19" s="17" t="s">
        <v>1780</v>
      </c>
    </row>
    <row r="20" customFormat="false" ht="15" hidden="false" customHeight="true" outlineLevel="0" collapsed="false">
      <c r="A20" s="26" t="s">
        <v>1781</v>
      </c>
      <c r="B20" s="17" t="s">
        <v>1782</v>
      </c>
      <c r="C20" s="27" t="s">
        <v>1783</v>
      </c>
      <c r="D20" s="17" t="s">
        <v>1784</v>
      </c>
    </row>
    <row r="21" customFormat="false" ht="15" hidden="false" customHeight="true" outlineLevel="0" collapsed="false">
      <c r="A21" s="26" t="s">
        <v>1785</v>
      </c>
      <c r="B21" s="17" t="s">
        <v>1786</v>
      </c>
      <c r="C21" s="27" t="s">
        <v>1786</v>
      </c>
      <c r="D21" s="17" t="s">
        <v>1786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4" min="4" style="1" width="55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0" t="s">
        <v>1787</v>
      </c>
      <c r="B1" s="20"/>
      <c r="C1" s="20"/>
      <c r="D1" s="20"/>
      <c r="E1" s="20"/>
    </row>
    <row r="3" customFormat="false" ht="26.25" hidden="false" customHeight="true" outlineLevel="0" collapsed="false">
      <c r="A3" s="11" t="s">
        <v>1788</v>
      </c>
      <c r="B3" s="11" t="s">
        <v>1707</v>
      </c>
      <c r="C3" s="11" t="s">
        <v>1789</v>
      </c>
      <c r="D3" s="11" t="s">
        <v>1790</v>
      </c>
      <c r="E3" s="11" t="s">
        <v>1791</v>
      </c>
    </row>
    <row r="4" customFormat="false" ht="26.25" hidden="false" customHeight="true" outlineLevel="0" collapsed="false">
      <c r="A4" s="28" t="n">
        <v>1</v>
      </c>
      <c r="B4" s="17" t="s">
        <v>1792</v>
      </c>
      <c r="C4" s="17" t="s">
        <v>1793</v>
      </c>
      <c r="D4" s="17" t="s">
        <v>1794</v>
      </c>
      <c r="E4" s="29" t="n">
        <v>0</v>
      </c>
    </row>
    <row r="5" customFormat="false" ht="26.25" hidden="false" customHeight="true" outlineLevel="0" collapsed="false">
      <c r="A5" s="28" t="n">
        <v>2</v>
      </c>
      <c r="B5" s="17" t="s">
        <v>1795</v>
      </c>
      <c r="C5" s="17" t="s">
        <v>1796</v>
      </c>
      <c r="D5" s="17" t="s">
        <v>1797</v>
      </c>
      <c r="E5" s="29" t="n">
        <v>0</v>
      </c>
    </row>
    <row r="6" customFormat="false" ht="15" hidden="false" customHeight="true" outlineLevel="0" collapsed="false">
      <c r="A6" s="28" t="n">
        <v>3</v>
      </c>
      <c r="B6" s="17" t="s">
        <v>1798</v>
      </c>
      <c r="C6" s="17" t="s">
        <v>1799</v>
      </c>
      <c r="D6" s="17" t="s">
        <v>1800</v>
      </c>
      <c r="E6" s="29" t="n">
        <v>0</v>
      </c>
    </row>
    <row r="7" customFormat="false" ht="26.25" hidden="false" customHeight="true" outlineLevel="0" collapsed="false">
      <c r="A7" s="28" t="n">
        <v>4</v>
      </c>
      <c r="B7" s="17" t="s">
        <v>1801</v>
      </c>
      <c r="C7" s="17" t="s">
        <v>1802</v>
      </c>
      <c r="D7" s="17" t="s">
        <v>1803</v>
      </c>
      <c r="E7" s="29" t="n">
        <v>0</v>
      </c>
    </row>
    <row r="8" customFormat="false" ht="15" hidden="false" customHeight="true" outlineLevel="0" collapsed="false">
      <c r="A8" s="28" t="n">
        <v>5</v>
      </c>
      <c r="B8" s="17" t="s">
        <v>1804</v>
      </c>
      <c r="C8" s="17" t="s">
        <v>1805</v>
      </c>
      <c r="D8" s="17" t="s">
        <v>1806</v>
      </c>
      <c r="E8" s="29" t="n">
        <v>600</v>
      </c>
    </row>
    <row r="9" customFormat="false" ht="15" hidden="false" customHeight="true" outlineLevel="0" collapsed="false">
      <c r="A9" s="28" t="n">
        <v>6</v>
      </c>
      <c r="B9" s="17" t="s">
        <v>1807</v>
      </c>
      <c r="C9" s="17" t="s">
        <v>1808</v>
      </c>
      <c r="D9" s="17" t="s">
        <v>1809</v>
      </c>
      <c r="E9" s="29" t="n">
        <v>600</v>
      </c>
    </row>
    <row r="10" customFormat="false" ht="15" hidden="false" customHeight="true" outlineLevel="0" collapsed="false">
      <c r="A10" s="28" t="n">
        <v>7</v>
      </c>
      <c r="B10" s="17" t="s">
        <v>1810</v>
      </c>
      <c r="C10" s="17" t="s">
        <v>1808</v>
      </c>
      <c r="D10" s="17" t="s">
        <v>1811</v>
      </c>
      <c r="E10" s="29" t="n">
        <v>1500</v>
      </c>
    </row>
    <row r="11" customFormat="false" ht="15" hidden="false" customHeight="true" outlineLevel="0" collapsed="false">
      <c r="A11" s="28" t="n">
        <v>8</v>
      </c>
      <c r="B11" s="17" t="s">
        <v>1812</v>
      </c>
      <c r="C11" s="17" t="s">
        <v>1813</v>
      </c>
      <c r="D11" s="17" t="s">
        <v>1814</v>
      </c>
      <c r="E11" s="29" t="n">
        <v>2400</v>
      </c>
    </row>
    <row r="12" customFormat="false" ht="15" hidden="false" customHeight="true" outlineLevel="0" collapsed="false">
      <c r="A12" s="28" t="n">
        <v>9</v>
      </c>
      <c r="B12" s="17" t="s">
        <v>1815</v>
      </c>
      <c r="C12" s="17" t="s">
        <v>1816</v>
      </c>
      <c r="D12" s="17" t="s">
        <v>1817</v>
      </c>
      <c r="E12" s="29" t="n">
        <v>3300</v>
      </c>
    </row>
    <row r="13" customFormat="false" ht="15" hidden="false" customHeight="true" outlineLevel="0" collapsed="false">
      <c r="A13" s="28" t="n">
        <v>10</v>
      </c>
      <c r="B13" s="17" t="s">
        <v>1818</v>
      </c>
      <c r="C13" s="17" t="s">
        <v>1819</v>
      </c>
      <c r="D13" s="17" t="s">
        <v>1820</v>
      </c>
      <c r="E13" s="29" t="n">
        <v>3750</v>
      </c>
    </row>
    <row r="14" customFormat="false" ht="15" hidden="false" customHeight="true" outlineLevel="0" collapsed="false">
      <c r="A14" s="28" t="n">
        <v>11</v>
      </c>
      <c r="B14" s="17" t="s">
        <v>1821</v>
      </c>
      <c r="C14" s="17" t="s">
        <v>1822</v>
      </c>
      <c r="D14" s="17" t="s">
        <v>1823</v>
      </c>
      <c r="E14" s="29" t="n">
        <v>4200</v>
      </c>
    </row>
    <row r="15" customFormat="false" ht="15" hidden="false" customHeight="true" outlineLevel="0" collapsed="false">
      <c r="A15" s="28" t="n">
        <v>12</v>
      </c>
      <c r="B15" s="17" t="s">
        <v>1824</v>
      </c>
      <c r="C15" s="17" t="s">
        <v>1825</v>
      </c>
      <c r="D15" s="17" t="s">
        <v>1826</v>
      </c>
      <c r="E15" s="29" t="n">
        <v>5100</v>
      </c>
    </row>
    <row r="16" customFormat="false" ht="15" hidden="false" customHeight="true" outlineLevel="0" collapsed="false">
      <c r="A16" s="28" t="n">
        <v>13</v>
      </c>
      <c r="B16" s="17" t="s">
        <v>1827</v>
      </c>
      <c r="C16" s="17" t="s">
        <v>1828</v>
      </c>
      <c r="D16" s="17" t="s">
        <v>1829</v>
      </c>
      <c r="E16" s="29" t="n">
        <v>5550</v>
      </c>
    </row>
    <row r="17" customFormat="false" ht="15" hidden="false" customHeight="true" outlineLevel="0" collapsed="false">
      <c r="A17" s="28" t="n">
        <v>14</v>
      </c>
      <c r="B17" s="17" t="s">
        <v>1830</v>
      </c>
      <c r="C17" s="17" t="s">
        <v>1831</v>
      </c>
      <c r="D17" s="17" t="s">
        <v>1832</v>
      </c>
      <c r="E17" s="29" t="n">
        <v>5550</v>
      </c>
    </row>
    <row r="18" customFormat="false" ht="15" hidden="false" customHeight="true" outlineLevel="0" collapsed="false">
      <c r="A18" s="28" t="n">
        <v>15</v>
      </c>
      <c r="B18" s="17" t="s">
        <v>1833</v>
      </c>
      <c r="C18" s="17" t="s">
        <v>1834</v>
      </c>
      <c r="D18" s="17" t="s">
        <v>1835</v>
      </c>
      <c r="E18" s="29" t="n">
        <v>6300</v>
      </c>
    </row>
    <row r="19" customFormat="false" ht="15" hidden="false" customHeight="true" outlineLevel="0" collapsed="false">
      <c r="A19" s="28" t="n">
        <v>16</v>
      </c>
      <c r="B19" s="17" t="s">
        <v>1836</v>
      </c>
      <c r="C19" s="17" t="s">
        <v>1837</v>
      </c>
      <c r="D19" s="17" t="s">
        <v>1838</v>
      </c>
      <c r="E19" s="29" t="n">
        <v>6300</v>
      </c>
    </row>
    <row r="20" customFormat="false" ht="15" hidden="false" customHeight="true" outlineLevel="0" collapsed="false">
      <c r="A20" s="28" t="s">
        <v>1839</v>
      </c>
      <c r="B20" s="17" t="s">
        <v>1840</v>
      </c>
      <c r="C20" s="17" t="s">
        <v>1841</v>
      </c>
      <c r="D20" s="17" t="s">
        <v>1842</v>
      </c>
      <c r="E20" s="29" t="s">
        <v>1843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30"/>
  </cols>
  <sheetData>
    <row r="1" customFormat="false" ht="17.25" hidden="false" customHeight="true" outlineLevel="0" collapsed="false">
      <c r="A1" s="20" t="s">
        <v>1844</v>
      </c>
      <c r="B1" s="20"/>
      <c r="C1" s="20"/>
      <c r="D1" s="20"/>
    </row>
    <row r="3" customFormat="false" ht="26.25" hidden="false" customHeight="true" outlineLevel="0" collapsed="false">
      <c r="A3" s="11" t="s">
        <v>1845</v>
      </c>
      <c r="B3" s="11" t="s">
        <v>1846</v>
      </c>
      <c r="C3" s="11" t="s">
        <v>1847</v>
      </c>
      <c r="D3" s="11" t="s">
        <v>1848</v>
      </c>
    </row>
    <row r="4" customFormat="false" ht="15" hidden="false" customHeight="true" outlineLevel="0" collapsed="false">
      <c r="A4" s="17" t="s">
        <v>1849</v>
      </c>
      <c r="B4" s="17" t="s">
        <v>1850</v>
      </c>
      <c r="C4" s="17" t="s">
        <v>1851</v>
      </c>
      <c r="D4" s="17" t="s">
        <v>1852</v>
      </c>
    </row>
    <row r="5" customFormat="false" ht="26.25" hidden="false" customHeight="true" outlineLevel="0" collapsed="false">
      <c r="A5" s="17" t="s">
        <v>1853</v>
      </c>
      <c r="B5" s="17" t="s">
        <v>1854</v>
      </c>
      <c r="C5" s="17" t="s">
        <v>1855</v>
      </c>
      <c r="D5" s="17" t="s">
        <v>1856</v>
      </c>
    </row>
    <row r="6" customFormat="false" ht="26.25" hidden="false" customHeight="true" outlineLevel="0" collapsed="false">
      <c r="A6" s="17" t="s">
        <v>1857</v>
      </c>
      <c r="B6" s="17" t="s">
        <v>1858</v>
      </c>
      <c r="C6" s="17" t="s">
        <v>1855</v>
      </c>
      <c r="D6" s="17" t="s">
        <v>1859</v>
      </c>
    </row>
    <row r="7" customFormat="false" ht="15" hidden="false" customHeight="true" outlineLevel="0" collapsed="false">
      <c r="A7" s="17" t="s">
        <v>1860</v>
      </c>
      <c r="B7" s="17" t="s">
        <v>1861</v>
      </c>
      <c r="C7" s="17" t="s">
        <v>1851</v>
      </c>
      <c r="D7" s="17" t="s">
        <v>1862</v>
      </c>
    </row>
    <row r="8" customFormat="false" ht="26.25" hidden="false" customHeight="true" outlineLevel="0" collapsed="false">
      <c r="A8" s="17" t="s">
        <v>1863</v>
      </c>
      <c r="B8" s="17" t="s">
        <v>1864</v>
      </c>
      <c r="C8" s="17" t="s">
        <v>1865</v>
      </c>
      <c r="D8" s="17" t="s">
        <v>1866</v>
      </c>
    </row>
    <row r="9" customFormat="false" ht="26.25" hidden="false" customHeight="true" outlineLevel="0" collapsed="false">
      <c r="A9" s="17" t="s">
        <v>1867</v>
      </c>
      <c r="B9" s="17" t="s">
        <v>1868</v>
      </c>
      <c r="C9" s="17" t="s">
        <v>1869</v>
      </c>
      <c r="D9" s="17" t="s">
        <v>1870</v>
      </c>
    </row>
    <row r="10" customFormat="false" ht="15" hidden="false" customHeight="true" outlineLevel="0" collapsed="false">
      <c r="A10" s="17" t="s">
        <v>1871</v>
      </c>
      <c r="B10" s="17" t="s">
        <v>1872</v>
      </c>
      <c r="C10" s="17" t="s">
        <v>1869</v>
      </c>
      <c r="D10" s="17" t="s">
        <v>1873</v>
      </c>
    </row>
    <row r="11" customFormat="false" ht="26.25" hidden="false" customHeight="true" outlineLevel="0" collapsed="false">
      <c r="A11" s="17" t="s">
        <v>1874</v>
      </c>
      <c r="B11" s="17" t="s">
        <v>1875</v>
      </c>
      <c r="C11" s="17" t="s">
        <v>1876</v>
      </c>
      <c r="D11" s="17" t="s">
        <v>1877</v>
      </c>
    </row>
    <row r="12" customFormat="false" ht="15" hidden="false" customHeight="true" outlineLevel="0" collapsed="false">
      <c r="A12" s="17" t="s">
        <v>1878</v>
      </c>
      <c r="B12" s="17" t="s">
        <v>1875</v>
      </c>
      <c r="C12" s="17" t="s">
        <v>1876</v>
      </c>
      <c r="D12" s="17" t="s">
        <v>1879</v>
      </c>
    </row>
    <row r="13" customFormat="false" ht="15" hidden="false" customHeight="true" outlineLevel="0" collapsed="false">
      <c r="A13" s="17" t="s">
        <v>1880</v>
      </c>
      <c r="B13" s="17" t="s">
        <v>1881</v>
      </c>
      <c r="C13" s="17" t="s">
        <v>1851</v>
      </c>
      <c r="D13" s="17" t="s">
        <v>1882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0" t="s">
        <v>1883</v>
      </c>
      <c r="B1" s="20"/>
    </row>
    <row r="3" customFormat="false" ht="26.25" hidden="false" customHeight="true" outlineLevel="0" collapsed="false">
      <c r="A3" s="21" t="s">
        <v>1884</v>
      </c>
      <c r="B3" s="22" t="s">
        <v>1885</v>
      </c>
    </row>
    <row r="4" customFormat="false" ht="26.25" hidden="false" customHeight="true" outlineLevel="0" collapsed="false">
      <c r="A4" s="21" t="s">
        <v>1886</v>
      </c>
      <c r="B4" s="22" t="s">
        <v>1887</v>
      </c>
    </row>
    <row r="5" customFormat="false" ht="26.25" hidden="false" customHeight="true" outlineLevel="0" collapsed="false">
      <c r="A5" s="21" t="s">
        <v>1888</v>
      </c>
      <c r="B5" s="22" t="s">
        <v>1889</v>
      </c>
    </row>
    <row r="6" customFormat="false" ht="26.25" hidden="false" customHeight="true" outlineLevel="0" collapsed="false">
      <c r="A6" s="21" t="s">
        <v>1890</v>
      </c>
      <c r="B6" s="22" t="s">
        <v>1891</v>
      </c>
    </row>
    <row r="7" customFormat="false" ht="15" hidden="false" customHeight="true" outlineLevel="0" collapsed="false">
      <c r="A7" s="21" t="s">
        <v>1892</v>
      </c>
      <c r="B7" s="22" t="s">
        <v>1893</v>
      </c>
    </row>
    <row r="8" customFormat="false" ht="26.25" hidden="false" customHeight="true" outlineLevel="0" collapsed="false">
      <c r="A8" s="21" t="s">
        <v>1894</v>
      </c>
      <c r="B8" s="22" t="s">
        <v>1895</v>
      </c>
    </row>
    <row r="9" customFormat="false" ht="15" hidden="false" customHeight="true" outlineLevel="0" collapsed="false">
      <c r="A9" s="21"/>
      <c r="B9" s="22" t="s">
        <v>1896</v>
      </c>
    </row>
    <row r="10" customFormat="false" ht="15" hidden="false" customHeight="true" outlineLevel="0" collapsed="false">
      <c r="A10" s="21"/>
      <c r="B10" s="22" t="s">
        <v>1897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2026-04-24T10:16:37Z</dcterms:created>
  <dc:creator>openpyxl</dc:creator>
  <dc:description/>
  <dc:language>en-US</dc:language>
  <cp:lastModifiedBy/>
  <dcterms:modified xsi:type="dcterms:W3CDTF">2026-04-24T10:30:00Z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